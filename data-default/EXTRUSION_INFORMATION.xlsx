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volution Company\ERP\Demo\"/>
    </mc:Choice>
  </mc:AlternateContent>
  <xr:revisionPtr revIDLastSave="0" documentId="13_ncr:1_{339D7133-98E9-4C82-B5BB-26EBA300B3F9}" xr6:coauthVersionLast="47" xr6:coauthVersionMax="47" xr10:uidLastSave="{00000000-0000-0000-0000-000000000000}"/>
  <bookViews>
    <workbookView xWindow="-110" yWindow="-110" windowWidth="25820" windowHeight="15500" xr2:uid="{5264B6F4-4C5A-4680-B746-C29B0D81CD38}"/>
  </bookViews>
  <sheets>
    <sheet name="EXTRUSION FORM" sheetId="4" r:id="rId1"/>
    <sheet name="VENDOR INFORMATION" sheetId="5" r:id="rId2"/>
    <sheet name="Master list" sheetId="7" r:id="rId3"/>
  </sheets>
  <externalReferences>
    <externalReference r:id="rId4"/>
  </externalReferences>
  <definedNames>
    <definedName name="_xlnm._FilterDatabase" localSheetId="0" hidden="1">'EXTRUSION FORM'!$A$12:$S$28</definedName>
    <definedName name="_xlnm._FilterDatabase" localSheetId="2" hidden="1">'Master list'!$A$3:$O$10</definedName>
    <definedName name="_xlnm.Print_Area" localSheetId="0">'EXTRUSION FORM'!$A$1:$U$46</definedName>
    <definedName name="_xlnm.Print_Area" localSheetId="2">'Master list'!$A$1:$O$10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7" l="1"/>
  <c r="F14" i="7" s="1"/>
  <c r="H14" i="7" s="1"/>
  <c r="E13" i="7"/>
  <c r="F13" i="7" s="1"/>
  <c r="H13" i="7" s="1"/>
  <c r="H12" i="7"/>
  <c r="E11" i="7"/>
  <c r="F11" i="7" s="1"/>
  <c r="H11" i="7" s="1"/>
  <c r="R20" i="4" l="1"/>
  <c r="R21" i="4" s="1"/>
  <c r="R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Lê Thị Hoài Linh</author>
  </authors>
  <commentList>
    <comment ref="B15" authorId="0" shapeId="0" xr:uid="{E9950165-45E9-4DF9-AF20-E70BBB5EC5FB}">
      <text>
        <r>
          <rPr>
            <b/>
            <sz val="9"/>
            <rFont val="Tahoma"/>
            <family val="2"/>
          </rPr>
          <t>Lê Thị Hoài Linh:</t>
        </r>
        <r>
          <rPr>
            <sz val="9"/>
            <rFont val="Tahoma"/>
            <family val="2"/>
          </rPr>
          <t xml:space="preserve">
du 10pcs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Lê Thị Hoài Linh</author>
  </authors>
  <commentList>
    <comment ref="B6" authorId="0" shapeId="0" xr:uid="{64CF2E84-3D4C-4C80-B8C2-B098507FE79C}">
      <text>
        <r>
          <rPr>
            <b/>
            <sz val="9"/>
            <rFont val="Tahoma"/>
            <family val="2"/>
          </rPr>
          <t>Lê Thị Hoài Linh:</t>
        </r>
        <r>
          <rPr>
            <sz val="9"/>
            <rFont val="Tahoma"/>
            <family val="2"/>
          </rPr>
          <t xml:space="preserve">
du 10pcs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<sst xmlns="http://schemas.openxmlformats.org/spreadsheetml/2006/main" count="164" uniqueCount="129">
  <si>
    <t xml:space="preserve">To: </t>
  </si>
  <si>
    <t>Công Ty Cổ Phần Kỹ Thuật AP</t>
  </si>
  <si>
    <t xml:space="preserve">Attn: </t>
  </si>
  <si>
    <t>Mr. Hai</t>
  </si>
  <si>
    <t xml:space="preserve">Email </t>
  </si>
  <si>
    <t>haipham@cnps.com.vn</t>
  </si>
  <si>
    <t>Mobile:</t>
  </si>
  <si>
    <t>0977621392</t>
  </si>
  <si>
    <t xml:space="preserve">Currency : VND </t>
  </si>
  <si>
    <t>Extrusion Item code</t>
  </si>
  <si>
    <t>Fabrication Item code</t>
  </si>
  <si>
    <t>Model</t>
  </si>
  <si>
    <t>Q'ty of bar
(bar)</t>
  </si>
  <si>
    <t>Length of bar
(mm)</t>
  </si>
  <si>
    <t>pcs/bar</t>
  </si>
  <si>
    <t>Total Q'ty
(pcs)
(A)</t>
  </si>
  <si>
    <t>Cutting</t>
  </si>
  <si>
    <t>Fabrication</t>
  </si>
  <si>
    <t>Cleaning</t>
  </si>
  <si>
    <t>(AxB)</t>
  </si>
  <si>
    <t>A6061</t>
  </si>
  <si>
    <t>RM-0061-12</t>
  </si>
  <si>
    <t>32.3(+/-0.15)</t>
  </si>
  <si>
    <t>RM-0058-12</t>
  </si>
  <si>
    <t>IM</t>
  </si>
  <si>
    <t>362(+/-0.5)</t>
  </si>
  <si>
    <t>TOTAL AMOUNT (EXCL VAT)</t>
  </si>
  <si>
    <t>VAT 8%</t>
  </si>
  <si>
    <t>TOTAL AMOUNT (INCL VAT)</t>
  </si>
  <si>
    <t>*Note: Evol provides the alu extrution --&gt; APT processes are based on drawings</t>
  </si>
  <si>
    <r>
      <rPr>
        <b/>
        <sz val="22"/>
        <color rgb="FF000000"/>
        <rFont val="Cambria"/>
        <family val="1"/>
      </rPr>
      <t>Required/</t>
    </r>
    <r>
      <rPr>
        <b/>
        <i/>
        <sz val="22"/>
        <color indexed="8"/>
        <rFont val="Cambria"/>
        <family val="1"/>
      </rPr>
      <t xml:space="preserve"> </t>
    </r>
    <r>
      <rPr>
        <b/>
        <i/>
        <sz val="22"/>
        <color rgb="FF000000"/>
        <rFont val="Cambria"/>
        <family val="1"/>
      </rPr>
      <t>Yêu cầu:</t>
    </r>
  </si>
  <si>
    <t>- Delivery note &amp; invoice/ Phiếu giao hàng và hóa đơn</t>
  </si>
  <si>
    <t>- instruction manual/ Giấy hướng dẫn sử dụng</t>
  </si>
  <si>
    <t>- Quality report/ Báo cáo kiểm tra chất lượng</t>
  </si>
  <si>
    <t>- Check sheet/ Phiếu kiểm tra kích thước</t>
  </si>
  <si>
    <t>-The scrap/ waste material generated from The cutting or fabrication process need to be returned to Evolution for 􀏐inancial calculation of losses The scraps shall be collected, repacked into PP bags, and delivered to Party A together with the delivery trucks once a month until the order is completed. Phế liệu/vật liệu thải phát sinh từ quá trình cắt hoặc chế tạo cần được trả lại cho Evolution để tính toán tổn thất về mặt tài chính, phế được gm lại đóng vào túi PP và giao cho bên A kèm theo xe giao hàng mỗi tháng 1 lần cho đến hết đơn hàng</t>
  </si>
  <si>
    <t>The Seller Acknowledgement</t>
  </si>
  <si>
    <t>The Buyer Acknowledgement</t>
  </si>
  <si>
    <t>Confirmed by</t>
  </si>
  <si>
    <t>Approved by</t>
  </si>
  <si>
    <t xml:space="preserve">Bank information/ Thông tin ngân hàng </t>
  </si>
  <si>
    <t>Account name: CONG TY CO PHAN KY THUAT AP</t>
  </si>
  <si>
    <t>Bank Account: NH Sacombank - CN Di An</t>
  </si>
  <si>
    <t>Account number :   050109946270</t>
  </si>
  <si>
    <t>Tên Công ty</t>
  </si>
  <si>
    <t>CÔNG TY TNHH EVOLUTION TECHNOLOGIES VIỆT NAM</t>
  </si>
  <si>
    <t>Địa chỉ</t>
  </si>
  <si>
    <t>Số 15A VSIP II-A Đường số 27, Khu Công Nghiệp Việt Nam – Singapore II-A, Phường Vĩnh Tân, Thành Phố Tân Uyên, Tỉnh Bình Dương, Việt Nam.</t>
  </si>
  <si>
    <t>MST</t>
  </si>
  <si>
    <t xml:space="preserve">3 7 0 2 8 4 4 9 4 8 </t>
  </si>
  <si>
    <t>Email</t>
  </si>
  <si>
    <t>vien.nguyen@evolution.ca, vn-ap@evolution.ca</t>
  </si>
  <si>
    <t>Item code</t>
  </si>
  <si>
    <t>Remark
Ghi chú</t>
  </si>
  <si>
    <t>RM-0061E-1</t>
  </si>
  <si>
    <t>RM-0058E-1</t>
  </si>
  <si>
    <t>Note
Ghi Chú</t>
  </si>
  <si>
    <t>Prepared by</t>
  </si>
  <si>
    <t>S</t>
  </si>
  <si>
    <t>P4-13-062026</t>
  </si>
  <si>
    <t xml:space="preserve">Purchase No: </t>
  </si>
  <si>
    <t>Low Support Tube Ø 16x3.75</t>
  </si>
  <si>
    <t>RM-0060E-1</t>
  </si>
  <si>
    <t xml:space="preserve">Front Fork </t>
  </si>
  <si>
    <t>IR/IM/IT</t>
  </si>
  <si>
    <t>32(+0.05/-0.4)</t>
  </si>
  <si>
    <t xml:space="preserve">Small bracket </t>
  </si>
  <si>
    <t>RM-0037E-1</t>
  </si>
  <si>
    <t>Seat Hinge</t>
  </si>
  <si>
    <t>64(+0.1/-0.2)</t>
  </si>
  <si>
    <t>RM-0057E-1</t>
  </si>
  <si>
    <t>IR</t>
  </si>
  <si>
    <t>359.7(+/-0.3)</t>
  </si>
  <si>
    <t>RM-0059E-1</t>
  </si>
  <si>
    <t>IT</t>
  </si>
  <si>
    <t>372(+/-0.5)</t>
  </si>
  <si>
    <t>RM-0230E-1</t>
  </si>
  <si>
    <t>Bracing Piece Trillium 24"</t>
  </si>
  <si>
    <t>195(+/-0.3)</t>
  </si>
  <si>
    <r>
      <t>Date:</t>
    </r>
    <r>
      <rPr>
        <sz val="22"/>
        <color theme="1"/>
        <rFont val="Cambria"/>
        <family val="1"/>
      </rPr>
      <t xml:space="preserve"> June 20， 2026</t>
    </r>
  </si>
  <si>
    <r>
      <t xml:space="preserve">Delivery Terms: </t>
    </r>
    <r>
      <rPr>
        <sz val="22"/>
        <color theme="1"/>
        <rFont val="Cambria"/>
        <family val="1"/>
      </rPr>
      <t xml:space="preserve">DDP - Evolution factory </t>
    </r>
  </si>
  <si>
    <r>
      <t xml:space="preserve">Payment Terms: </t>
    </r>
    <r>
      <rPr>
        <sz val="22"/>
        <color theme="1"/>
        <rFont val="Cambria"/>
        <family val="1"/>
      </rPr>
      <t xml:space="preserve">30 Days after delivery </t>
    </r>
  </si>
  <si>
    <r>
      <t xml:space="preserve">No.
</t>
    </r>
    <r>
      <rPr>
        <i/>
        <sz val="22"/>
        <color theme="1"/>
        <rFont val="Cambria"/>
        <family val="1"/>
      </rPr>
      <t>STT</t>
    </r>
  </si>
  <si>
    <r>
      <t xml:space="preserve">Drawing name
</t>
    </r>
    <r>
      <rPr>
        <i/>
        <sz val="22"/>
        <color theme="1"/>
        <rFont val="Cambria"/>
        <family val="1"/>
      </rPr>
      <t xml:space="preserve">Tên bản vẽ </t>
    </r>
  </si>
  <si>
    <r>
      <t xml:space="preserve">Material
</t>
    </r>
    <r>
      <rPr>
        <i/>
        <sz val="22"/>
        <color theme="1"/>
        <rFont val="Cambria"/>
        <family val="1"/>
      </rPr>
      <t>Vật liệu</t>
    </r>
  </si>
  <si>
    <r>
      <t xml:space="preserve">Part name
</t>
    </r>
    <r>
      <rPr>
        <i/>
        <sz val="22"/>
        <color theme="1"/>
        <rFont val="Cambria"/>
        <family val="1"/>
      </rPr>
      <t>Tên chi tiết</t>
    </r>
  </si>
  <si>
    <r>
      <t xml:space="preserve">Images
</t>
    </r>
    <r>
      <rPr>
        <i/>
        <sz val="22"/>
        <color theme="1"/>
        <rFont val="Cambria"/>
        <family val="1"/>
      </rPr>
      <t>Hình ảnh</t>
    </r>
  </si>
  <si>
    <r>
      <t xml:space="preserve">Cutting lengh 
</t>
    </r>
    <r>
      <rPr>
        <i/>
        <sz val="22"/>
        <color theme="1"/>
        <rFont val="Cambria"/>
        <family val="1"/>
      </rPr>
      <t>Chiều dài cắt tham chiếu</t>
    </r>
  </si>
  <si>
    <r>
      <t xml:space="preserve">Unit price
</t>
    </r>
    <r>
      <rPr>
        <i/>
        <sz val="22"/>
        <color theme="1"/>
        <rFont val="Cambria"/>
        <family val="1"/>
      </rPr>
      <t>Đơn giá</t>
    </r>
    <r>
      <rPr>
        <b/>
        <sz val="22"/>
        <color theme="1"/>
        <rFont val="Cambria"/>
        <family val="1"/>
      </rPr>
      <t>(VND)</t>
    </r>
  </si>
  <si>
    <r>
      <t xml:space="preserve">Amount
</t>
    </r>
    <r>
      <rPr>
        <i/>
        <sz val="22"/>
        <color theme="1"/>
        <rFont val="Cambria"/>
        <family val="1"/>
      </rPr>
      <t xml:space="preserve">Thành tiền </t>
    </r>
    <r>
      <rPr>
        <b/>
        <sz val="22"/>
        <color theme="1"/>
        <rFont val="Cambria"/>
        <family val="1"/>
      </rPr>
      <t>(VND)</t>
    </r>
  </si>
  <si>
    <r>
      <t>Invoice information /</t>
    </r>
    <r>
      <rPr>
        <sz val="22"/>
        <color rgb="FF000000"/>
        <rFont val="Cambria"/>
        <family val="1"/>
      </rPr>
      <t xml:space="preserve"> Thông tin xuất hóa đơn :</t>
    </r>
  </si>
  <si>
    <r>
      <t xml:space="preserve">PURCHASE ORDER
</t>
    </r>
    <r>
      <rPr>
        <i/>
        <sz val="48"/>
        <color theme="1"/>
        <rFont val="Cambria"/>
        <family val="1"/>
      </rPr>
      <t>ĐƠN ĐẶT HÀNG</t>
    </r>
  </si>
  <si>
    <t>RM-0060-12</t>
  </si>
  <si>
    <t>RM-0037-12</t>
  </si>
  <si>
    <t>RM-0057-12</t>
  </si>
  <si>
    <t>RM-0059-12</t>
  </si>
  <si>
    <t>RM-0230-12</t>
  </si>
  <si>
    <t>Total unit price (B)</t>
  </si>
  <si>
    <t>No</t>
  </si>
  <si>
    <t>Vendor code</t>
  </si>
  <si>
    <t>VENDOR INFORMATION</t>
  </si>
  <si>
    <t>Attn</t>
  </si>
  <si>
    <t>Mobile</t>
  </si>
  <si>
    <t xml:space="preserve">Description </t>
  </si>
  <si>
    <t>APTECH</t>
  </si>
  <si>
    <t>TIGER</t>
  </si>
  <si>
    <t>Công Ty TNHH TIGER</t>
  </si>
  <si>
    <t>Ms. A</t>
  </si>
  <si>
    <t>EXTRUSION MASTER LIST</t>
  </si>
  <si>
    <t>EV0100010103</t>
  </si>
  <si>
    <t>EV0118010104</t>
  </si>
  <si>
    <t>EV0118010101</t>
  </si>
  <si>
    <t>RM-0053-54E-1</t>
  </si>
  <si>
    <t>270(+0.1/-0.4)</t>
  </si>
  <si>
    <t>EV0118010102</t>
  </si>
  <si>
    <t>RM-0054-12</t>
  </si>
  <si>
    <t>IM - Main Tube Ø 30 Right - VN (Fab)</t>
  </si>
  <si>
    <t>EV0118010103</t>
  </si>
  <si>
    <t>RM-0047E-1</t>
  </si>
  <si>
    <t>480(+/-0.2)</t>
  </si>
  <si>
    <t>EV0118010108</t>
  </si>
  <si>
    <t>RM-0128E-1</t>
  </si>
  <si>
    <t>621.4(+/-0.2)</t>
  </si>
  <si>
    <t>EV0121010104</t>
  </si>
  <si>
    <t xml:space="preserve"> EV0100010101</t>
  </si>
  <si>
    <t>EV0100010102</t>
  </si>
  <si>
    <t>EV0124010115</t>
  </si>
  <si>
    <t>0123456789</t>
  </si>
  <si>
    <t>tiger@tiger.vn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</si>
</sst>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Cambria"/>
      <family val="1"/>
    </font>
    <font>
      <sz val="11"/>
      <color rgb="FFFF0000"/>
      <name val="Cambria"/>
      <family val="1"/>
    </font>
    <font>
      <b/>
      <sz val="22"/>
      <color theme="1"/>
      <name val="Cambria"/>
      <family val="1"/>
    </font>
    <font>
      <sz val="22"/>
      <color theme="1"/>
      <name val="Cambria"/>
      <family val="1"/>
    </font>
    <font>
      <b/>
      <sz val="22"/>
      <color rgb="FF000000"/>
      <name val="Cambria"/>
      <family val="1"/>
    </font>
    <font>
      <i/>
      <sz val="22"/>
      <color theme="1"/>
      <name val="Cambria"/>
      <family val="1"/>
    </font>
    <font>
      <b/>
      <sz val="22"/>
      <color rgb="FFFF0000"/>
      <name val="Cambria"/>
      <family val="1"/>
    </font>
    <font>
      <b/>
      <sz val="11"/>
      <color theme="1"/>
      <name val="Cambria"/>
      <family val="1"/>
    </font>
    <font>
      <b/>
      <sz val="18"/>
      <color theme="1"/>
      <name val="Cambria"/>
      <family val="1"/>
    </font>
    <font>
      <sz val="22"/>
      <name val="Cambria"/>
      <family val="1"/>
    </font>
    <font>
      <b/>
      <i/>
      <sz val="22"/>
      <color theme="1"/>
      <name val="Cambria"/>
      <family val="1"/>
    </font>
    <font>
      <b/>
      <i/>
      <sz val="22"/>
      <color indexed="8"/>
      <name val="Cambria"/>
      <family val="1"/>
    </font>
    <font>
      <b/>
      <i/>
      <sz val="22"/>
      <color rgb="FF000000"/>
      <name val="Cambria"/>
      <family val="1"/>
    </font>
    <font>
      <b/>
      <sz val="22"/>
      <color indexed="8"/>
      <name val="Cambria"/>
      <family val="1"/>
    </font>
    <font>
      <sz val="22"/>
      <color indexed="8"/>
      <name val="Cambria"/>
      <family val="1"/>
    </font>
    <font>
      <sz val="22"/>
      <color rgb="FF000000"/>
      <name val="Cambria"/>
      <family val="1"/>
    </font>
    <font>
      <b/>
      <sz val="9"/>
      <name val="Tahoma"/>
      <family val="2"/>
    </font>
    <font>
      <sz val="9"/>
      <name val="Tahoma"/>
      <family val="2"/>
    </font>
    <font>
      <sz val="22"/>
      <color rgb="FFFF0000"/>
      <name val="Cambria"/>
      <family val="1"/>
    </font>
    <font>
      <u/>
      <sz val="22"/>
      <color theme="10"/>
      <name val="Cambria"/>
      <family val="1"/>
    </font>
    <font>
      <b/>
      <sz val="48"/>
      <color theme="1"/>
      <name val="Cambria"/>
      <family val="1"/>
    </font>
    <font>
      <i/>
      <sz val="48"/>
      <color theme="1"/>
      <name val="Cambria"/>
      <family val="1"/>
    </font>
    <font>
      <b/>
      <u/>
      <sz val="22"/>
      <color theme="10"/>
      <name val="Cambria"/>
      <family val="1"/>
    </font>
    <font>
      <b/>
      <sz val="30"/>
      <color rgb="FF00B050"/>
      <name val="Cambria"/>
      <family val="1"/>
    </font>
    <font>
      <b/>
      <u/>
      <sz val="30"/>
      <color rgb="FF00B050"/>
      <name val="Cambria"/>
      <family val="1"/>
    </font>
    <font>
      <b/>
      <sz val="18"/>
      <color rgb="FF0070C0"/>
      <name val="Calibri"/>
      <family val="2"/>
      <scheme val="minor"/>
    </font>
    <font>
      <b/>
      <sz val="22"/>
      <color rgb="FFFF0000"/>
      <name val="Calibri"/>
      <family val="2"/>
      <scheme val="minor"/>
    </font>
    <font>
      <sz val="14"/>
      <color theme="1"/>
      <name val="Calibri"/>
      <family val="2"/>
      <scheme val="minor"/>
    </font>
    <font>
      <b/>
      <sz val="14"/>
      <color theme="1"/>
      <name val="Cambria"/>
      <family val="1"/>
    </font>
    <font>
      <u/>
      <sz val="14"/>
      <color theme="1"/>
      <name val="Cambria"/>
      <family val="1"/>
    </font>
    <font>
      <sz val="14"/>
      <color theme="1"/>
      <name val="Cambria"/>
      <family val="1"/>
    </font>
    <font>
      <sz val="8"/>
      <name val="Calibri"/>
      <family val="2"/>
      <scheme val="minor"/>
    </font>
    <font>
      <u/>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thin">
        <color auto="1"/>
      </right>
      <top/>
      <bottom/>
      <diagonal/>
    </border>
    <border>
      <left style="thin">
        <color auto="1"/>
      </left>
      <right style="thin">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s>
  <cellStyleXfs count="7">
    <xf numFmtId="0" fontId="0" fillId="0" borderId="0"/>
    <xf numFmtId="0" fontId="4" fillId="0" borderId="0" applyNumberFormat="0" applyFill="0" applyBorder="0" applyAlignment="0" applyProtection="0"/>
    <xf numFmtId="43" fontId="3" fillId="0" borderId="0" applyFont="0" applyFill="0" applyBorder="0" applyAlignment="0" applyProtection="0"/>
    <xf numFmtId="0" fontId="2" fillId="0" borderId="0"/>
    <xf numFmtId="0" fontId="2" fillId="0" borderId="0"/>
    <xf numFmtId="0" fontId="1" fillId="0" borderId="0"/>
    <xf numFmtId="43" fontId="1" fillId="0" borderId="0" applyFont="0" applyFill="0" applyBorder="0" applyAlignment="0" applyProtection="0"/>
  </cellStyleXfs>
  <cellXfs count="173">
    <xf numFmtId="0" fontId="0" fillId="0" borderId="0" xfId="0"/>
    <xf numFmtId="0" fontId="5" fillId="0" borderId="0" xfId="0" applyFont="1"/>
    <xf numFmtId="43" fontId="5" fillId="0" borderId="0" xfId="2" applyFont="1" applyFill="1"/>
    <xf numFmtId="0" fontId="5" fillId="0" borderId="0" xfId="0" applyFont="1" applyAlignment="1">
      <alignment wrapText="1"/>
    </xf>
    <xf numFmtId="0" fontId="6" fillId="2" borderId="0" xfId="0" applyFont="1" applyFill="1"/>
    <xf numFmtId="164" fontId="5" fillId="0" borderId="0" xfId="2" applyNumberFormat="1" applyFont="1" applyFill="1" applyBorder="1"/>
    <xf numFmtId="0" fontId="7" fillId="0" borderId="0" xfId="0" applyFont="1"/>
    <xf numFmtId="0" fontId="8" fillId="0" borderId="0" xfId="0" applyFont="1"/>
    <xf numFmtId="43" fontId="8" fillId="0" borderId="0" xfId="2" applyFont="1" applyFill="1"/>
    <xf numFmtId="164" fontId="8" fillId="0" borderId="0" xfId="2" applyNumberFormat="1" applyFont="1" applyFill="1" applyBorder="1"/>
    <xf numFmtId="0" fontId="8" fillId="0" borderId="0" xfId="0" applyFont="1" applyAlignment="1">
      <alignment wrapText="1"/>
    </xf>
    <xf numFmtId="0" fontId="8" fillId="0" borderId="0" xfId="0" quotePrefix="1" applyFont="1"/>
    <xf numFmtId="0" fontId="9" fillId="0" borderId="0" xfId="0" applyFont="1" applyAlignment="1">
      <alignment vertical="center"/>
    </xf>
    <xf numFmtId="0" fontId="8" fillId="0" borderId="0" xfId="0" applyFont="1" applyAlignment="1">
      <alignment vertical="center"/>
    </xf>
    <xf numFmtId="0" fontId="19" fillId="0" borderId="0" xfId="0" applyFont="1" applyAlignment="1">
      <alignment horizontal="center"/>
    </xf>
    <xf numFmtId="0" fontId="18" fillId="0" borderId="0" xfId="0" applyFont="1" applyAlignment="1">
      <alignment horizontal="center" vertical="center"/>
    </xf>
    <xf numFmtId="0" fontId="7" fillId="0" borderId="0" xfId="0" applyFont="1" applyAlignment="1">
      <alignment horizontal="center"/>
    </xf>
    <xf numFmtId="164" fontId="7" fillId="0" borderId="0" xfId="0" applyNumberFormat="1" applyFont="1"/>
    <xf numFmtId="164" fontId="8" fillId="0" borderId="0" xfId="2" applyNumberFormat="1" applyFont="1" applyFill="1"/>
    <xf numFmtId="164" fontId="19" fillId="3" borderId="7" xfId="0" applyNumberFormat="1" applyFont="1" applyFill="1" applyBorder="1" applyAlignment="1">
      <alignment horizontal="center" vertical="center"/>
    </xf>
    <xf numFmtId="0" fontId="19" fillId="0" borderId="0" xfId="0" applyFont="1"/>
    <xf numFmtId="0" fontId="18" fillId="0" borderId="0" xfId="0" applyFont="1" applyAlignment="1">
      <alignment horizontal="left"/>
    </xf>
    <xf numFmtId="164" fontId="19" fillId="0" borderId="0" xfId="0" applyNumberFormat="1" applyFont="1"/>
    <xf numFmtId="0" fontId="8" fillId="0" borderId="1" xfId="0" applyFont="1" applyBorder="1" applyAlignment="1">
      <alignment horizontal="left"/>
    </xf>
    <xf numFmtId="0" fontId="8" fillId="0" borderId="0" xfId="0" applyFont="1" applyAlignment="1">
      <alignment horizontal="left"/>
    </xf>
    <xf numFmtId="0" fontId="8" fillId="0" borderId="19" xfId="0" applyFont="1" applyBorder="1" applyAlignment="1">
      <alignment horizontal="left"/>
    </xf>
    <xf numFmtId="0" fontId="18" fillId="0" borderId="0" xfId="0" applyFont="1"/>
    <xf numFmtId="43" fontId="19" fillId="0" borderId="0" xfId="0" applyNumberFormat="1" applyFont="1"/>
    <xf numFmtId="0" fontId="19" fillId="0" borderId="4" xfId="0" applyFont="1" applyBorder="1" applyAlignment="1">
      <alignment horizontal="left" vertical="center"/>
    </xf>
    <xf numFmtId="0" fontId="18" fillId="0" borderId="0" xfId="0" applyFont="1" applyAlignment="1">
      <alignment vertical="center" wrapText="1"/>
    </xf>
    <xf numFmtId="164" fontId="5" fillId="0" borderId="0" xfId="2" applyNumberFormat="1" applyFont="1" applyFill="1"/>
    <xf numFmtId="164" fontId="14" fillId="2" borderId="11" xfId="2"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16" fontId="14" fillId="2" borderId="7" xfId="0" applyNumberFormat="1" applyFont="1" applyFill="1" applyBorder="1" applyAlignment="1">
      <alignment horizontal="center" vertical="center" wrapText="1"/>
    </xf>
    <xf numFmtId="15" fontId="8" fillId="2" borderId="7" xfId="0" applyNumberFormat="1" applyFont="1" applyFill="1" applyBorder="1" applyAlignment="1">
      <alignment horizontal="center" vertical="center" wrapText="1"/>
    </xf>
    <xf numFmtId="3" fontId="14" fillId="2" borderId="7" xfId="2" applyNumberFormat="1" applyFont="1" applyFill="1" applyBorder="1" applyAlignment="1">
      <alignment horizontal="center" vertical="center"/>
    </xf>
    <xf numFmtId="164" fontId="14" fillId="2" borderId="7" xfId="2" applyNumberFormat="1" applyFont="1" applyFill="1" applyBorder="1" applyAlignment="1">
      <alignment horizontal="center" vertical="center" wrapText="1"/>
    </xf>
    <xf numFmtId="164" fontId="7" fillId="2" borderId="7" xfId="2" applyNumberFormat="1" applyFont="1" applyFill="1" applyBorder="1" applyAlignment="1">
      <alignment horizontal="center" vertical="center"/>
    </xf>
    <xf numFmtId="164" fontId="7" fillId="2" borderId="15" xfId="0" applyNumberFormat="1" applyFont="1" applyFill="1" applyBorder="1" applyAlignment="1">
      <alignment vertical="center"/>
    </xf>
    <xf numFmtId="0" fontId="8" fillId="2" borderId="0" xfId="0" applyFont="1" applyFill="1" applyAlignment="1">
      <alignment vertical="center" wrapText="1"/>
    </xf>
    <xf numFmtId="164" fontId="7" fillId="2" borderId="16" xfId="0" applyNumberFormat="1" applyFont="1" applyFill="1" applyBorder="1" applyAlignment="1">
      <alignment vertical="center"/>
    </xf>
    <xf numFmtId="0" fontId="16" fillId="2" borderId="0" xfId="0" quotePrefix="1" applyFont="1" applyFill="1"/>
    <xf numFmtId="0" fontId="7" fillId="2" borderId="0" xfId="0" applyFont="1" applyFill="1"/>
    <xf numFmtId="0" fontId="8" fillId="2" borderId="0" xfId="0" applyFont="1" applyFill="1"/>
    <xf numFmtId="43" fontId="8" fillId="2" borderId="0" xfId="2" applyFont="1" applyFill="1"/>
    <xf numFmtId="164" fontId="8" fillId="2" borderId="0" xfId="2" applyNumberFormat="1" applyFont="1" applyFill="1" applyBorder="1"/>
    <xf numFmtId="0" fontId="8" fillId="2" borderId="0" xfId="0" applyFont="1" applyFill="1" applyAlignment="1">
      <alignment wrapText="1"/>
    </xf>
    <xf numFmtId="0" fontId="7" fillId="2" borderId="0" xfId="0" quotePrefix="1" applyFont="1" applyFill="1"/>
    <xf numFmtId="0" fontId="11" fillId="2" borderId="0" xfId="0" applyFont="1" applyFill="1" applyAlignment="1">
      <alignment horizontal="left" vertical="top" wrapText="1"/>
    </xf>
    <xf numFmtId="16" fontId="8" fillId="2" borderId="7" xfId="0" applyNumberFormat="1" applyFont="1" applyFill="1" applyBorder="1" applyAlignment="1">
      <alignment horizontal="center" vertical="center" wrapText="1"/>
    </xf>
    <xf numFmtId="0" fontId="18" fillId="2" borderId="0" xfId="0" applyFont="1" applyFill="1" applyAlignment="1">
      <alignment vertical="center"/>
    </xf>
    <xf numFmtId="164" fontId="19" fillId="2" borderId="0" xfId="0" applyNumberFormat="1" applyFont="1" applyFill="1" applyAlignment="1">
      <alignment horizontal="center" vertical="center"/>
    </xf>
    <xf numFmtId="164" fontId="19" fillId="2" borderId="0" xfId="0" applyNumberFormat="1" applyFont="1" applyFill="1"/>
    <xf numFmtId="164" fontId="5" fillId="0" borderId="0" xfId="2" applyNumberFormat="1" applyFont="1" applyFill="1" applyBorder="1" applyAlignment="1">
      <alignment horizontal="right"/>
    </xf>
    <xf numFmtId="0" fontId="19" fillId="3" borderId="7" xfId="0" applyFont="1" applyFill="1" applyBorder="1" applyAlignment="1">
      <alignment horizontal="center" vertical="center"/>
    </xf>
    <xf numFmtId="0" fontId="7" fillId="2" borderId="0" xfId="0" applyFont="1" applyFill="1" applyAlignment="1">
      <alignment horizontal="center"/>
    </xf>
    <xf numFmtId="0" fontId="8" fillId="2" borderId="0" xfId="0" applyFont="1" applyFill="1" applyAlignment="1">
      <alignment vertical="center"/>
    </xf>
    <xf numFmtId="164" fontId="7" fillId="3" borderId="17" xfId="0" applyNumberFormat="1" applyFont="1" applyFill="1" applyBorder="1" applyAlignment="1">
      <alignment vertical="center"/>
    </xf>
    <xf numFmtId="0" fontId="8" fillId="3" borderId="0" xfId="0" applyFont="1" applyFill="1" applyAlignment="1">
      <alignment vertical="center" wrapText="1"/>
    </xf>
    <xf numFmtId="0" fontId="8" fillId="3" borderId="0" xfId="0" applyFont="1" applyFill="1" applyAlignment="1">
      <alignment vertical="center"/>
    </xf>
    <xf numFmtId="0" fontId="7" fillId="3" borderId="7" xfId="0" applyFont="1" applyFill="1" applyBorder="1" applyAlignment="1">
      <alignment horizontal="center" vertical="center" wrapText="1"/>
    </xf>
    <xf numFmtId="0" fontId="7" fillId="3" borderId="0" xfId="0" applyFont="1" applyFill="1" applyAlignment="1">
      <alignment horizontal="center"/>
    </xf>
    <xf numFmtId="0" fontId="12" fillId="3" borderId="0" xfId="0" applyFont="1" applyFill="1" applyAlignment="1">
      <alignment horizontal="center"/>
    </xf>
    <xf numFmtId="0" fontId="13" fillId="3" borderId="11"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12" fillId="3" borderId="0" xfId="0" applyFont="1" applyFill="1" applyAlignment="1">
      <alignment horizontal="center" wrapText="1"/>
    </xf>
    <xf numFmtId="0" fontId="8" fillId="0" borderId="7" xfId="0" applyFont="1" applyBorder="1" applyAlignment="1">
      <alignment horizontal="center" vertical="center" wrapText="1"/>
    </xf>
    <xf numFmtId="0" fontId="7" fillId="3" borderId="11" xfId="0" applyFont="1" applyFill="1" applyBorder="1" applyAlignment="1">
      <alignment horizontal="center" vertical="center" wrapText="1"/>
    </xf>
    <xf numFmtId="0" fontId="14" fillId="2" borderId="27" xfId="0" applyFont="1" applyFill="1" applyBorder="1" applyAlignment="1">
      <alignment horizontal="center" vertical="center"/>
    </xf>
    <xf numFmtId="0" fontId="14" fillId="2" borderId="7" xfId="0" applyFont="1" applyFill="1" applyBorder="1" applyAlignment="1">
      <alignment horizontal="center" vertical="center" wrapText="1"/>
    </xf>
    <xf numFmtId="15" fontId="14" fillId="2" borderId="7" xfId="0" applyNumberFormat="1" applyFont="1" applyFill="1" applyBorder="1" applyAlignment="1">
      <alignment horizontal="center" vertical="center" wrapText="1"/>
    </xf>
    <xf numFmtId="164" fontId="23" fillId="2" borderId="7" xfId="2" applyNumberFormat="1" applyFont="1" applyFill="1" applyBorder="1" applyAlignment="1">
      <alignment horizontal="center" vertical="center" wrapText="1"/>
    </xf>
    <xf numFmtId="0" fontId="8" fillId="2" borderId="27" xfId="0" applyFont="1" applyFill="1" applyBorder="1" applyAlignment="1">
      <alignment horizontal="center" vertical="center"/>
    </xf>
    <xf numFmtId="164" fontId="8" fillId="2" borderId="7" xfId="2" applyNumberFormat="1" applyFont="1" applyFill="1" applyBorder="1" applyAlignment="1">
      <alignment horizontal="center" vertical="center" wrapText="1"/>
    </xf>
    <xf numFmtId="0" fontId="24" fillId="0" borderId="0" xfId="1" applyFont="1"/>
    <xf numFmtId="164" fontId="7" fillId="2" borderId="11" xfId="2" applyNumberFormat="1" applyFont="1" applyFill="1" applyBorder="1" applyAlignment="1">
      <alignment horizontal="center" vertical="center"/>
    </xf>
    <xf numFmtId="0" fontId="27" fillId="0" borderId="0" xfId="1" applyFont="1"/>
    <xf numFmtId="0" fontId="29" fillId="0" borderId="0" xfId="1" applyFont="1"/>
    <xf numFmtId="0" fontId="28" fillId="0" borderId="0" xfId="0" applyFont="1" applyAlignment="1">
      <alignment horizontal="right"/>
    </xf>
    <xf numFmtId="0" fontId="19" fillId="0" borderId="4" xfId="0" applyFont="1" applyBorder="1" applyAlignment="1">
      <alignment horizontal="left" vertical="center"/>
    </xf>
    <xf numFmtId="0" fontId="19" fillId="0" borderId="6" xfId="0" applyFont="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8" fillId="0" borderId="8" xfId="0" applyFont="1" applyBorder="1" applyAlignment="1">
      <alignment horizontal="left"/>
    </xf>
    <xf numFmtId="0" fontId="8" fillId="0" borderId="14" xfId="0" applyFont="1" applyBorder="1" applyAlignment="1">
      <alignment horizontal="left"/>
    </xf>
    <xf numFmtId="0" fontId="8" fillId="0" borderId="10" xfId="0" applyFont="1" applyBorder="1" applyAlignment="1">
      <alignment horizontal="left"/>
    </xf>
    <xf numFmtId="0" fontId="8" fillId="0" borderId="12" xfId="0" applyFont="1" applyBorder="1" applyAlignment="1">
      <alignment horizontal="left"/>
    </xf>
    <xf numFmtId="0" fontId="8" fillId="0" borderId="2" xfId="0" applyFont="1" applyBorder="1" applyAlignment="1">
      <alignment horizontal="left"/>
    </xf>
    <xf numFmtId="0" fontId="8" fillId="0" borderId="13" xfId="0" applyFont="1" applyBorder="1" applyAlignment="1">
      <alignment horizontal="left"/>
    </xf>
    <xf numFmtId="0" fontId="18" fillId="0" borderId="4" xfId="0" applyFont="1" applyBorder="1" applyAlignment="1">
      <alignment horizontal="left" vertical="center" wrapText="1"/>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xf numFmtId="0" fontId="18" fillId="3" borderId="7" xfId="0" applyFont="1" applyFill="1" applyBorder="1" applyAlignment="1">
      <alignment horizontal="center" vertical="center"/>
    </xf>
    <xf numFmtId="0" fontId="19" fillId="3" borderId="4" xfId="0" applyFont="1" applyFill="1" applyBorder="1" applyAlignment="1">
      <alignment horizontal="center" vertical="center"/>
    </xf>
    <xf numFmtId="0" fontId="19" fillId="3" borderId="6" xfId="0" applyFont="1" applyFill="1" applyBorder="1" applyAlignment="1">
      <alignment horizontal="center" vertical="center"/>
    </xf>
    <xf numFmtId="0" fontId="19" fillId="0" borderId="8" xfId="0" applyFont="1" applyBorder="1" applyAlignment="1">
      <alignment horizontal="center"/>
    </xf>
    <xf numFmtId="0" fontId="19" fillId="0" borderId="10" xfId="0" applyFont="1" applyBorder="1" applyAlignment="1">
      <alignment horizontal="center"/>
    </xf>
    <xf numFmtId="0" fontId="19" fillId="0" borderId="1" xfId="0" applyFont="1" applyBorder="1" applyAlignment="1">
      <alignment horizontal="center"/>
    </xf>
    <xf numFmtId="0" fontId="19" fillId="0" borderId="19"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xf numFmtId="164" fontId="19" fillId="0" borderId="3" xfId="0" applyNumberFormat="1" applyFont="1" applyBorder="1" applyAlignment="1">
      <alignment horizontal="center"/>
    </xf>
    <xf numFmtId="164" fontId="19" fillId="0" borderId="20" xfId="0" applyNumberFormat="1" applyFont="1" applyBorder="1" applyAlignment="1">
      <alignment horizontal="center"/>
    </xf>
    <xf numFmtId="164" fontId="19" fillId="0" borderId="11" xfId="0" applyNumberFormat="1" applyFont="1" applyBorder="1" applyAlignment="1">
      <alignment horizontal="center"/>
    </xf>
    <xf numFmtId="0" fontId="18" fillId="3" borderId="4"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1" fillId="2" borderId="0" xfId="0" quotePrefix="1" applyFont="1" applyFill="1" applyAlignment="1">
      <alignment horizontal="left" vertical="top" wrapText="1"/>
    </xf>
    <xf numFmtId="0" fontId="7" fillId="3" borderId="3"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2" borderId="24" xfId="0" applyFont="1" applyFill="1" applyBorder="1" applyAlignment="1">
      <alignment horizontal="right" vertical="center"/>
    </xf>
    <xf numFmtId="0" fontId="7" fillId="2" borderId="5" xfId="0" applyFont="1" applyFill="1" applyBorder="1" applyAlignment="1">
      <alignment horizontal="right" vertical="center"/>
    </xf>
    <xf numFmtId="0" fontId="7" fillId="2" borderId="6" xfId="0" applyFont="1" applyFill="1" applyBorder="1" applyAlignment="1">
      <alignment horizontal="right" vertical="center"/>
    </xf>
    <xf numFmtId="0" fontId="7" fillId="3" borderId="21" xfId="0" applyFont="1" applyFill="1" applyBorder="1" applyAlignment="1">
      <alignment horizontal="right" vertical="center"/>
    </xf>
    <xf numFmtId="0" fontId="7" fillId="3" borderId="22" xfId="0" applyFont="1" applyFill="1" applyBorder="1" applyAlignment="1">
      <alignment horizontal="right" vertical="center"/>
    </xf>
    <xf numFmtId="0" fontId="7" fillId="3" borderId="23" xfId="0" applyFont="1" applyFill="1" applyBorder="1" applyAlignment="1">
      <alignment horizontal="right" vertical="center"/>
    </xf>
    <xf numFmtId="0" fontId="15" fillId="2" borderId="18" xfId="0" applyFont="1" applyFill="1" applyBorder="1" applyAlignment="1">
      <alignment horizontal="center" vertical="center" wrapText="1"/>
    </xf>
    <xf numFmtId="164" fontId="5" fillId="0" borderId="0" xfId="2" applyNumberFormat="1" applyFont="1" applyFill="1" applyBorder="1" applyAlignment="1">
      <alignment horizontal="right"/>
    </xf>
    <xf numFmtId="0" fontId="25" fillId="0" borderId="0" xfId="0" applyFont="1" applyAlignment="1">
      <alignment horizontal="center" vertical="center" wrapText="1"/>
    </xf>
    <xf numFmtId="0" fontId="7" fillId="3" borderId="9" xfId="0" applyFont="1" applyFill="1" applyBorder="1" applyAlignment="1">
      <alignment horizontal="center" vertical="center" wrapText="1"/>
    </xf>
    <xf numFmtId="0" fontId="31" fillId="0" borderId="0" xfId="0" applyFont="1" applyAlignment="1">
      <alignment horizontal="center" vertical="center"/>
    </xf>
    <xf numFmtId="0" fontId="30" fillId="0" borderId="7" xfId="0" applyFont="1" applyBorder="1"/>
    <xf numFmtId="0" fontId="32" fillId="0" borderId="7" xfId="0" applyFont="1" applyBorder="1"/>
    <xf numFmtId="0" fontId="33" fillId="0" borderId="7" xfId="0" applyFont="1" applyBorder="1"/>
    <xf numFmtId="0" fontId="34" fillId="0" borderId="7" xfId="1" applyFont="1" applyBorder="1"/>
    <xf numFmtId="0" fontId="35" fillId="0" borderId="7" xfId="0" quotePrefix="1" applyFont="1" applyBorder="1"/>
    <xf numFmtId="0" fontId="5" fillId="0" borderId="0" xfId="5" applyFont="1"/>
    <xf numFmtId="43" fontId="5" fillId="0" borderId="0" xfId="6" applyFont="1" applyFill="1"/>
    <xf numFmtId="0" fontId="25" fillId="0" borderId="0" xfId="5" applyFont="1" applyAlignment="1">
      <alignment horizontal="center" vertical="center" wrapText="1"/>
    </xf>
    <xf numFmtId="0" fontId="7" fillId="3" borderId="3" xfId="5" applyFont="1" applyFill="1" applyBorder="1" applyAlignment="1">
      <alignment horizontal="center" vertical="center" wrapText="1"/>
    </xf>
    <xf numFmtId="0" fontId="7" fillId="3" borderId="4" xfId="5" applyFont="1" applyFill="1" applyBorder="1" applyAlignment="1">
      <alignment horizontal="center" vertical="center" wrapText="1"/>
    </xf>
    <xf numFmtId="0" fontId="7" fillId="3" borderId="5" xfId="5" applyFont="1" applyFill="1" applyBorder="1" applyAlignment="1">
      <alignment horizontal="center" vertical="center" wrapText="1"/>
    </xf>
    <xf numFmtId="0" fontId="7" fillId="3" borderId="6" xfId="5" applyFont="1" applyFill="1" applyBorder="1" applyAlignment="1">
      <alignment horizontal="center" vertical="center" wrapText="1"/>
    </xf>
    <xf numFmtId="0" fontId="12" fillId="3" borderId="0" xfId="5" applyFont="1" applyFill="1" applyAlignment="1">
      <alignment horizontal="center"/>
    </xf>
    <xf numFmtId="0" fontId="7" fillId="3" borderId="11" xfId="5" applyFont="1" applyFill="1" applyBorder="1" applyAlignment="1">
      <alignment horizontal="center" vertical="center" wrapText="1"/>
    </xf>
    <xf numFmtId="0" fontId="7" fillId="3" borderId="11" xfId="5" applyFont="1" applyFill="1" applyBorder="1" applyAlignment="1">
      <alignment horizontal="center" vertical="center" wrapText="1"/>
    </xf>
    <xf numFmtId="0" fontId="12" fillId="3" borderId="0" xfId="5" applyFont="1" applyFill="1" applyAlignment="1">
      <alignment horizontal="center" wrapText="1"/>
    </xf>
    <xf numFmtId="0" fontId="14" fillId="2" borderId="27" xfId="5" applyFont="1" applyFill="1" applyBorder="1" applyAlignment="1">
      <alignment horizontal="center" vertical="center"/>
    </xf>
    <xf numFmtId="0" fontId="14" fillId="2" borderId="7" xfId="5" applyFont="1" applyFill="1" applyBorder="1" applyAlignment="1">
      <alignment horizontal="center" vertical="center" wrapText="1"/>
    </xf>
    <xf numFmtId="16" fontId="14" fillId="2" borderId="7" xfId="5" applyNumberFormat="1" applyFont="1" applyFill="1" applyBorder="1" applyAlignment="1">
      <alignment horizontal="center" vertical="center" wrapText="1"/>
    </xf>
    <xf numFmtId="0" fontId="8" fillId="0" borderId="7" xfId="5" applyFont="1" applyBorder="1" applyAlignment="1">
      <alignment horizontal="center" vertical="center" wrapText="1"/>
    </xf>
    <xf numFmtId="15" fontId="14" fillId="2" borderId="7" xfId="5" applyNumberFormat="1" applyFont="1" applyFill="1" applyBorder="1" applyAlignment="1">
      <alignment horizontal="center" vertical="center" wrapText="1"/>
    </xf>
    <xf numFmtId="3" fontId="14" fillId="2" borderId="7" xfId="6" applyNumberFormat="1" applyFont="1" applyFill="1" applyBorder="1" applyAlignment="1">
      <alignment horizontal="center" vertical="center"/>
    </xf>
    <xf numFmtId="164" fontId="14" fillId="2" borderId="7" xfId="6" applyNumberFormat="1" applyFont="1" applyFill="1" applyBorder="1" applyAlignment="1">
      <alignment horizontal="center" vertical="center" wrapText="1"/>
    </xf>
    <xf numFmtId="164" fontId="14" fillId="2" borderId="11" xfId="6" applyNumberFormat="1" applyFont="1" applyFill="1" applyBorder="1" applyAlignment="1">
      <alignment horizontal="center" vertical="center" wrapText="1"/>
    </xf>
    <xf numFmtId="0" fontId="7" fillId="2" borderId="0" xfId="5" applyFont="1" applyFill="1" applyAlignment="1">
      <alignment horizontal="center"/>
    </xf>
    <xf numFmtId="0" fontId="8" fillId="2" borderId="27" xfId="5" applyFont="1" applyFill="1" applyBorder="1" applyAlignment="1">
      <alignment horizontal="center" vertical="center"/>
    </xf>
    <xf numFmtId="0" fontId="8" fillId="2" borderId="7" xfId="5" applyFont="1" applyFill="1" applyBorder="1" applyAlignment="1">
      <alignment horizontal="center" vertical="center" wrapText="1"/>
    </xf>
    <xf numFmtId="16" fontId="8" fillId="2" borderId="7" xfId="5" applyNumberFormat="1" applyFont="1" applyFill="1" applyBorder="1" applyAlignment="1">
      <alignment horizontal="center" vertical="center" wrapText="1"/>
    </xf>
    <xf numFmtId="15" fontId="8" fillId="2" borderId="7" xfId="5" applyNumberFormat="1" applyFont="1" applyFill="1" applyBorder="1" applyAlignment="1">
      <alignment horizontal="center" vertical="center" wrapText="1"/>
    </xf>
    <xf numFmtId="164" fontId="8" fillId="2" borderId="7" xfId="6" applyNumberFormat="1" applyFont="1" applyFill="1" applyBorder="1" applyAlignment="1">
      <alignment horizontal="center" vertical="center" wrapText="1"/>
    </xf>
    <xf numFmtId="164" fontId="5" fillId="0" borderId="0" xfId="6" applyNumberFormat="1" applyFont="1" applyFill="1"/>
    <xf numFmtId="16" fontId="14" fillId="0" borderId="7" xfId="0" applyNumberFormat="1" applyFont="1" applyBorder="1" applyAlignment="1">
      <alignment horizontal="center" vertical="center" wrapText="1"/>
    </xf>
    <xf numFmtId="15" fontId="8" fillId="0" borderId="7" xfId="0" applyNumberFormat="1" applyFont="1" applyBorder="1" applyAlignment="1">
      <alignment horizontal="center" vertical="center" wrapText="1"/>
    </xf>
    <xf numFmtId="3" fontId="14" fillId="0" borderId="7" xfId="6" applyNumberFormat="1" applyFont="1" applyFill="1" applyBorder="1" applyAlignment="1">
      <alignment horizontal="center" vertical="center"/>
    </xf>
    <xf numFmtId="164" fontId="14" fillId="0" borderId="7" xfId="6" applyNumberFormat="1" applyFont="1" applyFill="1" applyBorder="1" applyAlignment="1">
      <alignment horizontal="center" vertical="center" wrapText="1"/>
    </xf>
    <xf numFmtId="164" fontId="14" fillId="0" borderId="11" xfId="6" applyNumberFormat="1" applyFont="1" applyFill="1" applyBorder="1" applyAlignment="1">
      <alignment horizontal="center" vertical="center" wrapText="1"/>
    </xf>
    <xf numFmtId="0" fontId="12" fillId="0" borderId="0" xfId="0" applyFont="1" applyAlignment="1">
      <alignment horizont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164" fontId="8" fillId="2" borderId="7" xfId="6" applyNumberFormat="1" applyFont="1" applyFill="1" applyBorder="1" applyAlignment="1">
      <alignment horizontal="center" vertical="center"/>
    </xf>
    <xf numFmtId="164" fontId="8" fillId="2" borderId="11" xfId="6" applyNumberFormat="1" applyFont="1" applyFill="1" applyBorder="1" applyAlignment="1">
      <alignment horizontal="center" vertical="center"/>
    </xf>
    <xf numFmtId="164" fontId="8" fillId="0" borderId="7" xfId="6" applyNumberFormat="1" applyFont="1" applyFill="1" applyBorder="1" applyAlignment="1">
      <alignment horizontal="center" vertical="center"/>
    </xf>
    <xf numFmtId="0" fontId="14" fillId="0" borderId="7" xfId="0" applyFont="1" applyBorder="1" applyAlignment="1">
      <alignment horizontal="center" vertical="center" wrapText="1"/>
    </xf>
    <xf numFmtId="0" fontId="37" fillId="0" borderId="7" xfId="1" applyFont="1" applyBorder="1"/>
    <xf numFmtId="0" fontId="35" fillId="0" borderId="7" xfId="0" applyFont="1" applyBorder="1"/>
  </cellXfs>
  <cellStyles count="7">
    <cellStyle name="Comma 2" xfId="2" xr:uid="{F115DCEC-4A9F-43F9-B1EA-25702ECD0380}"/>
    <cellStyle name="Comma 2 2" xfId="6" xr:uid="{6B66DBF9-97FA-40CC-B3AD-2BBF2398F3E0}"/>
    <cellStyle name="Hyperlink" xfId="1" builtinId="8"/>
    <cellStyle name="Normal" xfId="0" builtinId="0"/>
    <cellStyle name="Normal 2" xfId="5" xr:uid="{B055DABE-2A02-4098-B330-ACAA7D49349A}"/>
    <cellStyle name="Normal 4" xfId="4" xr:uid="{F26A3371-3056-415C-8A19-F96394A001D1}"/>
    <cellStyle name="Normal 8 2" xfId="3" xr:uid="{D6E9B5EC-20BD-401B-B07D-6330F702A1F8}"/>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externalLink" Target="externalLinks/externalLink1.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107950</xdr:rowOff>
    </xdr:from>
    <xdr:to>
      <xdr:col>2</xdr:col>
      <xdr:colOff>1878201</xdr:colOff>
      <xdr:row>2</xdr:row>
      <xdr:rowOff>1460500</xdr:rowOff>
    </xdr:to>
    <xdr:pic>
      <xdr:nvPicPr>
        <xdr:cNvPr id="2" name="Picture 1" descr="A black and white logo&#10;&#10;Description automatically generated">
          <a:extLst>
            <a:ext uri="{FF2B5EF4-FFF2-40B4-BE49-F238E27FC236}">
              <a16:creationId xmlns:a16="http://schemas.microsoft.com/office/drawing/2014/main" id="{0E102CA1-2E80-4429-B37E-BE5FEF51F94F}"/>
            </a:ext>
          </a:extLst>
        </xdr:cNvPr>
        <xdr:cNvPicPr>
          <a:picLocks noChangeAspect="1"/>
        </xdr:cNvPicPr>
      </xdr:nvPicPr>
      <xdr:blipFill>
        <a:blip xmlns:r="http://schemas.openxmlformats.org/officeDocument/2006/relationships" r:embed="rId1"/>
        <a:stretch>
          <a:fillRect/>
        </a:stretch>
      </xdr:blipFill>
      <xdr:spPr>
        <a:xfrm>
          <a:off x="0" y="107950"/>
          <a:ext cx="6608951" cy="1860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volution-my.sharepoint.com/personal/vien_nguyen_evolution_ca/Documents/Desktop/PURCHASING%20&#37319;&#36141;/PRODUCTION%20MATERIALS/Aluminium/Fabrication/Vendor/Aptech/Order/2025/APTech_2025.xlsx" TargetMode="External"/><Relationship Id="rId1" Type="http://schemas.openxmlformats.org/officeDocument/2006/relationships/externalLinkPath" Target="https://evolution-my.sharepoint.com/personal/hang_nguyen_evolution_ca/Documents/EVOLUTION/PMC-PUR/15.PO/2025/APTech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1212"/>
      <sheetName val="251105"/>
      <sheetName val="251127"/>
      <sheetName val="250708"/>
      <sheetName val="250630"/>
      <sheetName val="250522"/>
      <sheetName val="250312(1)"/>
      <sheetName val="250312"/>
      <sheetName val="Data base"/>
      <sheetName val="Material unit price  (3)"/>
      <sheetName val="P1-55-112024"/>
      <sheetName val="Sheet1"/>
      <sheetName val="Material unit price  (2)"/>
      <sheetName val="241202"/>
      <sheetName val="241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H2" t="str">
            <v>Extrusion item code</v>
          </cell>
          <cell r="I2" t="str">
            <v>Extrusion item name</v>
          </cell>
          <cell r="J2" t="str">
            <v>Vendor</v>
          </cell>
          <cell r="K2" t="str">
            <v>Fabrication item code</v>
          </cell>
          <cell r="L2" t="str">
            <v>Fabrication item name</v>
          </cell>
        </row>
        <row r="3">
          <cell r="H3" t="str">
            <v>RM-0051-52E-1</v>
          </cell>
          <cell r="I3" t="str">
            <v>Main Tube Ø 30 Trillium 21" - VN</v>
          </cell>
          <cell r="J3" t="str">
            <v>TIGER ALWIN</v>
          </cell>
          <cell r="K3" t="str">
            <v>RM-0051-12</v>
          </cell>
          <cell r="L3" t="str">
            <v>IR - Main Tube Ø 30 Left - VN (Fab)</v>
          </cell>
        </row>
        <row r="4">
          <cell r="H4" t="str">
            <v>RM-0051-52E-1</v>
          </cell>
          <cell r="I4" t="str">
            <v>Main Tube Ø 30 Trillium 21" - VN</v>
          </cell>
          <cell r="J4" t="str">
            <v>TIGER ALWIN</v>
          </cell>
          <cell r="K4" t="str">
            <v>RM-0052-12</v>
          </cell>
          <cell r="L4" t="str">
            <v>IR - Main Tube Ø 30 Right - VN (Fab)</v>
          </cell>
        </row>
        <row r="5">
          <cell r="H5" t="str">
            <v>RM-0045E-1</v>
          </cell>
          <cell r="I5" t="str">
            <v>Main Bend Tube Ø 28 Trillium 21" - VN</v>
          </cell>
          <cell r="J5" t="str">
            <v>TIGER ALWIN</v>
          </cell>
          <cell r="K5" t="str">
            <v>RM-0045-12</v>
          </cell>
          <cell r="L5" t="str">
            <v>IR - Main Bend Tube Ø 28 - VN (Fab)</v>
          </cell>
        </row>
        <row r="6">
          <cell r="H6" t="str">
            <v>RM-0057E-1</v>
          </cell>
          <cell r="I6" t="str">
            <v>Low Support Tube Ø 16 Trillium 21" - VN</v>
          </cell>
          <cell r="J6" t="str">
            <v>TIGER ALWIN</v>
          </cell>
          <cell r="K6" t="str">
            <v>RM-0057-12</v>
          </cell>
          <cell r="L6" t="str">
            <v>IR-Low Support Tube Ø 16 - VN (Fab)</v>
          </cell>
        </row>
        <row r="7">
          <cell r="H7" t="str">
            <v>RM-0060E-1</v>
          </cell>
          <cell r="I7" t="str">
            <v>Front Fork 32mm Trillium  - VN</v>
          </cell>
          <cell r="J7" t="str">
            <v>TIGER ALWIN</v>
          </cell>
          <cell r="K7" t="str">
            <v>RM-0060-12</v>
          </cell>
          <cell r="L7" t="str">
            <v>IR/IM/IT - Front Fork post 32mm - VN (Fab)</v>
          </cell>
        </row>
        <row r="8">
          <cell r="H8" t="str">
            <v>RM-0037E-1</v>
          </cell>
          <cell r="I8" t="str">
            <v>Seat Hinge 64mm Trillium - VN</v>
          </cell>
          <cell r="J8" t="str">
            <v>TIGER ALWIN</v>
          </cell>
          <cell r="K8" t="str">
            <v>RM-0037-12</v>
          </cell>
          <cell r="L8" t="str">
            <v>IR/IM/IT - Seat Hinge 64mm - VN (Fab)</v>
          </cell>
        </row>
        <row r="9">
          <cell r="H9" t="str">
            <v>RM-0061E-1</v>
          </cell>
          <cell r="I9" t="str">
            <v>Low Support Bracket 32mm Trillium  - VN</v>
          </cell>
          <cell r="J9" t="str">
            <v>TIGER ALWIN</v>
          </cell>
          <cell r="K9" t="str">
            <v>RM-0061-12</v>
          </cell>
          <cell r="L9" t="str">
            <v>IR/IM/IT - Low Support Bracket 32.2MM - VN (Fab)</v>
          </cell>
        </row>
        <row r="10">
          <cell r="H10" t="str">
            <v>RM-0127E-1</v>
          </cell>
          <cell r="I10" t="str">
            <v>IR/IT - Handle Ø 23 - VN</v>
          </cell>
          <cell r="J10" t="str">
            <v>TIGER ALWIN</v>
          </cell>
          <cell r="K10" t="str">
            <v>RM-0127-12</v>
          </cell>
          <cell r="L10" t="str">
            <v>IR/IT - Handle Ø 23 (CN-Fabrication)</v>
          </cell>
        </row>
        <row r="11">
          <cell r="H11" t="str">
            <v>RM-0029E-1</v>
          </cell>
          <cell r="I11" t="str">
            <v>Main Support Rotate Trillium - VN</v>
          </cell>
          <cell r="J11" t="str">
            <v>MIAN LAN</v>
          </cell>
          <cell r="K11" t="str">
            <v>RM-0029-12</v>
          </cell>
          <cell r="L11" t="str">
            <v>IR/IM/IT - Main Support Rotate - U - VN (Fab)</v>
          </cell>
        </row>
        <row r="12">
          <cell r="H12" t="str">
            <v>RM-0031E-1</v>
          </cell>
          <cell r="I12" t="str">
            <v>Main Support-long/ Left - VN</v>
          </cell>
          <cell r="J12" t="str">
            <v>MIAN LAN</v>
          </cell>
          <cell r="K12" t="str">
            <v>RM-0031-IR-12</v>
          </cell>
          <cell r="L12" t="str">
            <v>IR - Main Support-Long/ Left - VN (Fab)</v>
          </cell>
        </row>
        <row r="13">
          <cell r="H13" t="str">
            <v>RM-0030E-1</v>
          </cell>
          <cell r="I13" t="str">
            <v>Main Support- short/ Right - VN</v>
          </cell>
          <cell r="J13" t="str">
            <v>MIAN LAN</v>
          </cell>
          <cell r="K13" t="str">
            <v>RM-0030-IR-12</v>
          </cell>
          <cell r="L13" t="str">
            <v>IR - Main Support-Short/ Right - VN (Fab)</v>
          </cell>
        </row>
        <row r="14">
          <cell r="H14" t="str">
            <v>RM-0008E-1</v>
          </cell>
          <cell r="I14" t="str">
            <v>Lower cross frame Trillium - VN</v>
          </cell>
          <cell r="J14" t="str">
            <v>MIAN LAN</v>
          </cell>
          <cell r="K14" t="str">
            <v>RM-0008-IR-12</v>
          </cell>
          <cell r="L14" t="str">
            <v>IR - Lower cross frame - VN (Fab)</v>
          </cell>
        </row>
        <row r="15">
          <cell r="H15" t="str">
            <v>RM-0010E-1</v>
          </cell>
          <cell r="I15" t="str">
            <v>Female Coupling Trillium - VN</v>
          </cell>
          <cell r="J15" t="str">
            <v>MIAN LAN</v>
          </cell>
          <cell r="K15" t="str">
            <v>RM-0010-12</v>
          </cell>
          <cell r="L15" t="str">
            <v>IR/IM/IT - Female Coupling-VN (Fabrication)</v>
          </cell>
        </row>
        <row r="16">
          <cell r="H16" t="str">
            <v>RM-0009E-1</v>
          </cell>
          <cell r="I16" t="str">
            <v>Male CouplingTrillium - VN</v>
          </cell>
          <cell r="J16" t="str">
            <v>MIAN LAN</v>
          </cell>
          <cell r="K16" t="str">
            <v>RM-0009-12</v>
          </cell>
          <cell r="L16" t="str">
            <v>IR/IM/IT - Male Coupling-VN (Fabrication)</v>
          </cell>
        </row>
        <row r="17">
          <cell r="H17" t="str">
            <v>RM-0055-56E-1</v>
          </cell>
          <cell r="I17" t="str">
            <v>Main Tube Ø 30 Trillium 24" - VN</v>
          </cell>
          <cell r="J17" t="str">
            <v>TIGER ALWIN</v>
          </cell>
          <cell r="K17" t="str">
            <v>RM-0055-12</v>
          </cell>
          <cell r="L17" t="str">
            <v>IT - Main Tube Ø 30 Left - VN (Fab)</v>
          </cell>
        </row>
        <row r="18">
          <cell r="H18" t="str">
            <v>RM-0055-56E-1</v>
          </cell>
          <cell r="I18" t="str">
            <v>Main Tube Ø 30 Trillium 24" - VN</v>
          </cell>
          <cell r="J18" t="str">
            <v>TIGER ALWIN</v>
          </cell>
          <cell r="K18" t="str">
            <v>RM-0056-12</v>
          </cell>
          <cell r="L18" t="str">
            <v>IT - Main Tube Ø 30 Right - VN (Fab)</v>
          </cell>
        </row>
        <row r="19">
          <cell r="H19" t="str">
            <v>RM-0049E-1</v>
          </cell>
          <cell r="I19" t="str">
            <v>Main Bend Tube Ø 28 Trillium 24" - VN</v>
          </cell>
          <cell r="J19" t="str">
            <v>TIGER ALWIN</v>
          </cell>
          <cell r="K19" t="str">
            <v>RM-0049-12</v>
          </cell>
          <cell r="L19" t="str">
            <v>IT - Main Bend Tube Ø 28 - VN (Fab)</v>
          </cell>
        </row>
        <row r="20">
          <cell r="H20" t="str">
            <v>RM-0059E-1</v>
          </cell>
          <cell r="I20" t="str">
            <v>Low Support Tube Ø 16 Trillium 24" - VN</v>
          </cell>
          <cell r="J20" t="str">
            <v>TIGER ALWIN</v>
          </cell>
          <cell r="K20" t="str">
            <v>RM-0059-12</v>
          </cell>
          <cell r="L20" t="str">
            <v>IT-Low Support Tube Ø 16 - VN (Fab)</v>
          </cell>
        </row>
        <row r="21">
          <cell r="H21" t="str">
            <v>RM-0060E-1</v>
          </cell>
          <cell r="I21" t="str">
            <v>Front Fork 32mm Trillium  - VN</v>
          </cell>
          <cell r="J21" t="str">
            <v>TIGER ALWIN</v>
          </cell>
          <cell r="K21" t="str">
            <v>RM-0060-12</v>
          </cell>
          <cell r="L21" t="str">
            <v>IR/IM/IT - Front Fork post 32mm - VN (Fab)</v>
          </cell>
        </row>
        <row r="22">
          <cell r="H22" t="str">
            <v>RM-0037E-1</v>
          </cell>
          <cell r="I22" t="str">
            <v>Seat Hinge 64mm Trillium - VN</v>
          </cell>
          <cell r="J22" t="str">
            <v>TIGER ALWIN</v>
          </cell>
          <cell r="K22" t="str">
            <v>RM-0037-12</v>
          </cell>
          <cell r="L22" t="str">
            <v>IR/IM/IT - Seat Hinge 64mm - VN (Fab)</v>
          </cell>
        </row>
        <row r="23">
          <cell r="H23" t="str">
            <v>RM-0061E-1</v>
          </cell>
          <cell r="I23" t="str">
            <v>Low Support Bracket 32mm Trillium  - VN</v>
          </cell>
          <cell r="J23" t="str">
            <v>TIGER ALWIN</v>
          </cell>
          <cell r="K23" t="str">
            <v>RM-0061-12</v>
          </cell>
          <cell r="L23" t="str">
            <v>IR/IM/IT - Low Support Bracket 32.2MM - VN (Fab)</v>
          </cell>
        </row>
        <row r="24">
          <cell r="H24" t="str">
            <v>RM-0230E-1</v>
          </cell>
          <cell r="I24" t="str">
            <v>Bracing Piece 195mm Trillium 24" - VN</v>
          </cell>
          <cell r="J24" t="str">
            <v>TIGER ALWIN</v>
          </cell>
          <cell r="K24" t="str">
            <v>RM-0230-12</v>
          </cell>
          <cell r="L24" t="str">
            <v>IT - Bracing Piece 195mm - VN (Fab)</v>
          </cell>
        </row>
        <row r="25">
          <cell r="H25" t="str">
            <v>RM-0127E-1</v>
          </cell>
          <cell r="I25" t="str">
            <v>IR/IT - Handle Ø 23 - VN</v>
          </cell>
          <cell r="J25" t="str">
            <v>TIGER ALWIN</v>
          </cell>
          <cell r="K25" t="str">
            <v>RM-0127-12</v>
          </cell>
          <cell r="L25" t="str">
            <v>IR/IT - Handle Ø 23 (CN-Fabrication)</v>
          </cell>
        </row>
        <row r="26">
          <cell r="H26" t="str">
            <v>RM-0029E-1</v>
          </cell>
          <cell r="I26" t="str">
            <v>Main Support Rotate Trillium - VN</v>
          </cell>
          <cell r="J26" t="str">
            <v>MIAN LAN</v>
          </cell>
          <cell r="K26" t="str">
            <v>RM-0029-12</v>
          </cell>
          <cell r="L26" t="str">
            <v>IR/IM/IT - Main Support Rotate - U - VN (Fab)</v>
          </cell>
        </row>
        <row r="27">
          <cell r="H27" t="str">
            <v>RM-0031E-1</v>
          </cell>
          <cell r="I27" t="str">
            <v>Main Support-long/ Left - VN</v>
          </cell>
          <cell r="J27" t="str">
            <v>MIAN LAN</v>
          </cell>
          <cell r="K27" t="str">
            <v>RM-0031-IT-12</v>
          </cell>
          <cell r="L27" t="str">
            <v>IT - Main Support-Long/ Left - VN (Fab)</v>
          </cell>
        </row>
        <row r="28">
          <cell r="H28" t="str">
            <v>RM-0030E-1</v>
          </cell>
          <cell r="I28" t="str">
            <v>Main Support- short/ Right - VN</v>
          </cell>
          <cell r="J28" t="str">
            <v>MIAN LAN</v>
          </cell>
          <cell r="K28" t="str">
            <v>RM-0030-IT-12</v>
          </cell>
          <cell r="L28" t="str">
            <v>IT - Main Support-Short/ Right - VN (Fab)</v>
          </cell>
        </row>
        <row r="29">
          <cell r="H29" t="str">
            <v>RM-0008E-1</v>
          </cell>
          <cell r="I29" t="str">
            <v>Lower cross frame Trillium - VN</v>
          </cell>
          <cell r="J29" t="str">
            <v>MIAN LAN</v>
          </cell>
          <cell r="K29" t="str">
            <v>RM-0008-IT-12</v>
          </cell>
          <cell r="L29" t="str">
            <v>IT - Lower cross frame - VN (Fab)</v>
          </cell>
        </row>
        <row r="30">
          <cell r="H30" t="str">
            <v>RM-0010E-1</v>
          </cell>
          <cell r="I30" t="str">
            <v>Female Coupling Trillium - VN</v>
          </cell>
          <cell r="J30" t="str">
            <v>MIAN LAN</v>
          </cell>
          <cell r="K30" t="str">
            <v>RM-0010-12</v>
          </cell>
          <cell r="L30" t="str">
            <v>IR/IM/IT - Female Coupling-VN (Fabrication)</v>
          </cell>
        </row>
        <row r="31">
          <cell r="H31" t="str">
            <v>RM-0009E-1</v>
          </cell>
          <cell r="I31" t="str">
            <v>Male CouplingTrillium - VN</v>
          </cell>
          <cell r="J31" t="str">
            <v>MIAN LAN</v>
          </cell>
          <cell r="K31" t="str">
            <v>RM-0009-12</v>
          </cell>
          <cell r="L31" t="str">
            <v>IR/IM/IT - Male Coupling-VN (Fabrication)</v>
          </cell>
        </row>
        <row r="32">
          <cell r="H32" t="str">
            <v>RM-0053-54E-1</v>
          </cell>
          <cell r="I32" t="str">
            <v>Main Tube Ø 30 Trillium 18" - VN</v>
          </cell>
          <cell r="J32" t="str">
            <v>TIGER ALWIN</v>
          </cell>
          <cell r="K32" t="str">
            <v>RM-0053-12</v>
          </cell>
          <cell r="L32" t="str">
            <v>IM - Main Tube Ø 30 Left - VN (Fab)</v>
          </cell>
        </row>
        <row r="33">
          <cell r="H33" t="str">
            <v>RM-0053-54E-1</v>
          </cell>
          <cell r="I33" t="str">
            <v>Main Tube Ø 30 Trillium 18" - VN</v>
          </cell>
          <cell r="J33" t="str">
            <v>TIGER ALWIN</v>
          </cell>
          <cell r="K33" t="str">
            <v>RM-0054-12</v>
          </cell>
          <cell r="L33" t="str">
            <v>IM - Main Tube Ø 30 Right - VN (Fab)</v>
          </cell>
        </row>
        <row r="34">
          <cell r="H34" t="str">
            <v>RM-0047E-1</v>
          </cell>
          <cell r="I34" t="str">
            <v>Main Bend Tube Ø 28 Trillium 18" - VN</v>
          </cell>
          <cell r="J34" t="str">
            <v>TIGER ALWIN</v>
          </cell>
          <cell r="K34" t="str">
            <v>RM-0047-12</v>
          </cell>
          <cell r="L34" t="str">
            <v>IM - Main Bend Tube Ø 28 - VN (Fab)</v>
          </cell>
        </row>
        <row r="35">
          <cell r="H35" t="str">
            <v>RM-0058E-1</v>
          </cell>
          <cell r="I35" t="str">
            <v>Low Support Tube Ø 16 Trillium 18" - VN</v>
          </cell>
          <cell r="J35" t="str">
            <v>TIGER ALWIN</v>
          </cell>
          <cell r="K35" t="str">
            <v>RM-0058-12</v>
          </cell>
          <cell r="L35" t="str">
            <v>IM-Low Support Tube Ø 16 - VN (Fab)</v>
          </cell>
        </row>
        <row r="36">
          <cell r="H36" t="str">
            <v>RM-0060E-1</v>
          </cell>
          <cell r="I36" t="str">
            <v>Front Fork 32mm Trillium  - VN</v>
          </cell>
          <cell r="J36" t="str">
            <v>TIGER ALWIN</v>
          </cell>
          <cell r="K36" t="str">
            <v>RM-0060-12</v>
          </cell>
          <cell r="L36" t="str">
            <v>IR/IM/IT - Front Fork post 32mm - VN (Fab)</v>
          </cell>
        </row>
        <row r="37">
          <cell r="H37" t="str">
            <v>RM-0037E-1</v>
          </cell>
          <cell r="I37" t="str">
            <v>Seat Hinge 64mm Trillium - VN</v>
          </cell>
          <cell r="J37" t="str">
            <v>TIGER ALWIN</v>
          </cell>
          <cell r="K37" t="str">
            <v>RM-0037-12</v>
          </cell>
          <cell r="L37" t="str">
            <v>IR/IM/IT - Seat Hinge 64mm - VN (Fab)</v>
          </cell>
        </row>
        <row r="38">
          <cell r="H38" t="str">
            <v>RM-0061E-1</v>
          </cell>
          <cell r="I38" t="str">
            <v>Low Support Bracket 32mm Trillium  - VN</v>
          </cell>
          <cell r="J38" t="str">
            <v>TIGER ALWIN</v>
          </cell>
          <cell r="K38" t="str">
            <v>RM-0061-12</v>
          </cell>
          <cell r="L38" t="str">
            <v>IR/IM/IT - Low Support Bracket 32.2MM - VN (Fab)</v>
          </cell>
        </row>
        <row r="39">
          <cell r="H39" t="str">
            <v>RM-0128E-1</v>
          </cell>
          <cell r="I39" t="str">
            <v>IM - Handle Ø 23 - VN</v>
          </cell>
          <cell r="J39" t="str">
            <v>TIGER ALWIN</v>
          </cell>
          <cell r="K39" t="str">
            <v>RM-0128-12</v>
          </cell>
          <cell r="L39" t="str">
            <v>IM - Handle Ø 23 (CN-Fabrication)</v>
          </cell>
        </row>
        <row r="40">
          <cell r="H40" t="str">
            <v>RM-0029E-1</v>
          </cell>
          <cell r="I40" t="str">
            <v>Main Support Rotate Trillium - VN</v>
          </cell>
          <cell r="J40" t="str">
            <v>MIAN LAN</v>
          </cell>
          <cell r="K40" t="str">
            <v>RM-0029-12</v>
          </cell>
          <cell r="L40" t="str">
            <v>IR/IM/IT - Main Support Rotate - U - VN (Fab)</v>
          </cell>
        </row>
        <row r="41">
          <cell r="H41" t="str">
            <v>RM-0031E-1</v>
          </cell>
          <cell r="I41" t="str">
            <v>Main Support-long/ Left - VN</v>
          </cell>
          <cell r="J41" t="str">
            <v>MIAN LAN</v>
          </cell>
          <cell r="K41" t="str">
            <v>RM-0031-IM-12</v>
          </cell>
          <cell r="L41" t="str">
            <v>IM - Main Support-Long/ Left - VN (Fab)</v>
          </cell>
        </row>
        <row r="42">
          <cell r="H42" t="str">
            <v>RM-0030E-1</v>
          </cell>
          <cell r="I42" t="str">
            <v>Main Support- short/ Right - VN</v>
          </cell>
          <cell r="J42" t="str">
            <v>MIAN LAN</v>
          </cell>
          <cell r="K42" t="str">
            <v>RM-0030-IM-12</v>
          </cell>
          <cell r="L42" t="str">
            <v>IM - Main Support-Short/ Right - VN (Fab)</v>
          </cell>
        </row>
        <row r="43">
          <cell r="H43" t="str">
            <v>RM-0008E-1</v>
          </cell>
          <cell r="I43" t="str">
            <v>Lower cross frame Trillium - VN</v>
          </cell>
          <cell r="J43" t="str">
            <v>MIAN LAN</v>
          </cell>
          <cell r="K43" t="str">
            <v>RM-0008-IM-12</v>
          </cell>
          <cell r="L43" t="str">
            <v>IM - Lower cross frame - VN (Fab)</v>
          </cell>
        </row>
        <row r="44">
          <cell r="H44" t="str">
            <v>RM-0010E-1</v>
          </cell>
          <cell r="I44" t="str">
            <v>Female Coupling Trillium - VN</v>
          </cell>
          <cell r="J44" t="str">
            <v>MIAN LAN</v>
          </cell>
          <cell r="K44" t="str">
            <v>RM-0010-12</v>
          </cell>
          <cell r="L44" t="str">
            <v>IR/IM/IT - Female Coupling-VN (Fabrication)</v>
          </cell>
        </row>
        <row r="45">
          <cell r="H45" t="str">
            <v>RM-0009E-1</v>
          </cell>
          <cell r="I45" t="str">
            <v>Male CouplingTrillium - VN</v>
          </cell>
          <cell r="J45" t="str">
            <v>MIAN LAN</v>
          </cell>
          <cell r="K45" t="str">
            <v>RM-0009-12</v>
          </cell>
          <cell r="L45" t="str">
            <v>IR/IM/IT - Male Coupling-VN (Fabrication)</v>
          </cell>
        </row>
      </sheetData>
      <sheetData sheetId="9" refreshError="1"/>
      <sheetData sheetId="10" refreshError="1"/>
      <sheetData sheetId="11" refreshError="1"/>
      <sheetData sheetId="12" refreshError="1"/>
      <sheetData sheetId="13" refreshError="1"/>
      <sheetData sheetId="14" refreshError="1"/>
    </sheetDataSet>
  </externalBook>
</externalLink>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mailto:tiger@tiger.vn" TargetMode="External"/><Relationship Id="rId1" Type="http://schemas.openxmlformats.org/officeDocument/2006/relationships/hyperlink" Target="mailto:haipham@cnps.com.vn"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C241-648E-46B2-9CBD-5BCD342F8C77}">
  <sheetPr>
    <tabColor rgb="FFFFC000"/>
  </sheetPr>
  <dimension ref="A1:AZ50"/>
  <sheetViews>
    <sheetView tabSelected="1" zoomScale="40" zoomScaleNormal="40" zoomScaleSheetLayoutView="40" zoomScalePageLayoutView="40" workbookViewId="0">
      <selection activeCell="K8" sqref="K8"/>
    </sheetView>
  </sheetViews>
  <sheetFormatPr defaultColWidth="9.1796875" defaultRowHeight="27.5"/>
  <cols>
    <col min="1" max="1" width="20.453125" style="1" customWidth="1"/>
    <col min="2" max="2" width="45.1796875" style="1" customWidth="1"/>
    <col min="3" max="3" width="27.6328125" style="1" customWidth="1"/>
    <col min="4" max="4" width="23" style="1" customWidth="1"/>
    <col min="5" max="5" width="25.90625" style="1" customWidth="1"/>
    <col min="6" max="6" width="39.81640625" style="1" customWidth="1"/>
    <col min="7" max="7" width="44.1796875" style="1" customWidth="1"/>
    <col min="8" max="8" width="19.81640625" style="2" customWidth="1"/>
    <col min="9" max="9" width="30.36328125" style="2" customWidth="1"/>
    <col min="10" max="10" width="21.08984375" style="2" customWidth="1"/>
    <col min="11" max="11" width="21.08984375" style="30" customWidth="1"/>
    <col min="12" max="12" width="15.90625" style="30" customWidth="1"/>
    <col min="13" max="13" width="23.54296875" style="30" customWidth="1"/>
    <col min="14" max="16" width="26" style="30" customWidth="1"/>
    <col min="17" max="17" width="31.1796875" style="30" customWidth="1"/>
    <col min="18" max="18" width="39.6328125" style="1" customWidth="1"/>
    <col min="19" max="19" width="23.6328125" style="3" hidden="1" customWidth="1"/>
    <col min="20" max="20" width="21.1796875" style="7" hidden="1" customWidth="1"/>
    <col min="21" max="21" width="45.1796875" style="43" hidden="1" customWidth="1"/>
    <col min="22" max="16384" width="9.1796875" style="1"/>
  </cols>
  <sheetData>
    <row r="1" spans="1:21" ht="19.5" customHeight="1">
      <c r="K1" s="124"/>
      <c r="L1" s="124"/>
      <c r="M1" s="124"/>
      <c r="N1" s="124"/>
      <c r="O1" s="124"/>
      <c r="P1" s="124"/>
      <c r="Q1" s="124"/>
    </row>
    <row r="2" spans="1:21" ht="19.5" customHeight="1">
      <c r="K2" s="53"/>
      <c r="L2" s="53"/>
      <c r="M2" s="53"/>
      <c r="N2" s="53"/>
      <c r="O2" s="53"/>
      <c r="P2" s="53"/>
      <c r="Q2" s="53"/>
    </row>
    <row r="3" spans="1:21" ht="127.5" customHeight="1">
      <c r="A3" s="125" t="s">
        <v>91</v>
      </c>
      <c r="B3" s="125"/>
      <c r="C3" s="125"/>
      <c r="D3" s="125"/>
      <c r="E3" s="125"/>
      <c r="F3" s="125"/>
      <c r="G3" s="125"/>
      <c r="H3" s="125"/>
      <c r="I3" s="125"/>
      <c r="J3" s="125"/>
      <c r="K3" s="125"/>
      <c r="L3" s="125"/>
      <c r="M3" s="125"/>
      <c r="N3" s="125"/>
      <c r="O3" s="125"/>
      <c r="P3" s="125"/>
      <c r="Q3" s="125"/>
      <c r="R3" s="125"/>
    </row>
    <row r="4" spans="1:21">
      <c r="K4" s="5"/>
      <c r="L4" s="5"/>
      <c r="M4" s="5"/>
      <c r="N4" s="5"/>
      <c r="O4" s="5"/>
      <c r="P4" s="5"/>
      <c r="Q4" s="5"/>
    </row>
    <row r="5" spans="1:21" ht="44.5" customHeight="1">
      <c r="A5" s="6" t="s">
        <v>0</v>
      </c>
      <c r="B5" s="6"/>
      <c r="C5" s="6"/>
      <c r="D5" s="7"/>
      <c r="E5" s="7"/>
      <c r="F5" s="7"/>
      <c r="G5" s="7"/>
      <c r="H5" s="8"/>
      <c r="I5" s="8"/>
      <c r="J5" s="8"/>
      <c r="K5" s="6"/>
      <c r="L5" s="6"/>
      <c r="M5" s="6"/>
      <c r="N5" s="6"/>
      <c r="O5" s="6"/>
      <c r="P5" s="6"/>
      <c r="Q5" s="6" t="s">
        <v>60</v>
      </c>
      <c r="R5" s="7" t="s">
        <v>59</v>
      </c>
      <c r="S5" s="10"/>
    </row>
    <row r="6" spans="1:21" ht="44.5" customHeight="1">
      <c r="A6" s="6" t="s">
        <v>2</v>
      </c>
      <c r="B6" s="7"/>
      <c r="C6" s="7"/>
      <c r="D6" s="7"/>
      <c r="E6" s="7"/>
      <c r="F6" s="7"/>
      <c r="G6" s="7"/>
      <c r="H6" s="8"/>
      <c r="I6" s="8"/>
      <c r="J6" s="8"/>
      <c r="K6" s="6"/>
      <c r="L6" s="6"/>
      <c r="M6" s="6"/>
      <c r="N6" s="6"/>
      <c r="O6" s="6"/>
      <c r="P6" s="6"/>
      <c r="Q6" s="6" t="s">
        <v>79</v>
      </c>
      <c r="S6" s="10"/>
    </row>
    <row r="7" spans="1:21" ht="44.5" customHeight="1">
      <c r="A7" s="6" t="s">
        <v>4</v>
      </c>
      <c r="B7" s="75"/>
      <c r="C7" s="77"/>
      <c r="D7" s="7"/>
      <c r="E7" s="79"/>
      <c r="F7" s="78"/>
      <c r="G7" s="7"/>
      <c r="H7" s="8"/>
      <c r="I7" s="8"/>
      <c r="J7" s="8"/>
      <c r="K7" s="6"/>
      <c r="L7" s="6"/>
      <c r="M7" s="6"/>
      <c r="N7" s="6"/>
      <c r="O7" s="6"/>
      <c r="P7" s="6"/>
      <c r="Q7" s="6" t="s">
        <v>80</v>
      </c>
      <c r="S7" s="10"/>
    </row>
    <row r="8" spans="1:21" ht="44.5" customHeight="1">
      <c r="A8" s="6" t="s">
        <v>6</v>
      </c>
      <c r="B8" s="11"/>
      <c r="C8" s="7"/>
      <c r="D8" s="7"/>
      <c r="E8" s="7"/>
      <c r="F8" s="7"/>
      <c r="G8" s="7"/>
      <c r="H8" s="8"/>
      <c r="I8" s="8"/>
      <c r="J8" s="8"/>
      <c r="K8" s="6"/>
      <c r="L8" s="6"/>
      <c r="M8" s="6"/>
      <c r="N8" s="6"/>
      <c r="O8" s="6"/>
      <c r="P8" s="6"/>
      <c r="Q8" s="6" t="s">
        <v>81</v>
      </c>
      <c r="S8" s="10"/>
    </row>
    <row r="9" spans="1:21" ht="44.5" customHeight="1">
      <c r="A9" s="6" t="s">
        <v>8</v>
      </c>
      <c r="B9" s="7"/>
      <c r="C9" s="7"/>
      <c r="D9" s="7"/>
      <c r="E9" s="7"/>
      <c r="F9" s="7"/>
      <c r="G9" s="7"/>
      <c r="H9" s="8"/>
      <c r="I9" s="8"/>
      <c r="J9" s="8"/>
      <c r="K9" s="9"/>
      <c r="L9" s="9"/>
      <c r="M9" s="9"/>
      <c r="N9" s="9"/>
      <c r="O9" s="9"/>
      <c r="P9" s="9"/>
      <c r="Q9" s="9"/>
      <c r="R9" s="7"/>
      <c r="S9" s="10"/>
    </row>
    <row r="10" spans="1:21" ht="44.5" customHeight="1" thickBot="1">
      <c r="A10" s="12"/>
      <c r="B10" s="7"/>
      <c r="C10" s="7"/>
      <c r="D10" s="7"/>
      <c r="E10" s="7"/>
      <c r="F10" s="7"/>
      <c r="G10" s="7"/>
      <c r="H10" s="8"/>
      <c r="I10" s="8"/>
      <c r="J10" s="8"/>
      <c r="K10" s="9"/>
      <c r="L10" s="9"/>
      <c r="M10" s="9"/>
      <c r="N10" s="9"/>
      <c r="O10" s="9"/>
      <c r="P10" s="9"/>
      <c r="Q10" s="9"/>
      <c r="R10" s="7"/>
      <c r="S10" s="10"/>
    </row>
    <row r="11" spans="1:21" s="62" customFormat="1" ht="86" customHeight="1" thickBot="1">
      <c r="A11" s="112" t="s">
        <v>82</v>
      </c>
      <c r="B11" s="112" t="s">
        <v>83</v>
      </c>
      <c r="C11" s="112" t="s">
        <v>9</v>
      </c>
      <c r="D11" s="112" t="s">
        <v>84</v>
      </c>
      <c r="E11" s="112" t="s">
        <v>10</v>
      </c>
      <c r="F11" s="112" t="s">
        <v>85</v>
      </c>
      <c r="G11" s="112" t="s">
        <v>86</v>
      </c>
      <c r="H11" s="112" t="s">
        <v>11</v>
      </c>
      <c r="I11" s="112" t="s">
        <v>87</v>
      </c>
      <c r="J11" s="112" t="s">
        <v>12</v>
      </c>
      <c r="K11" s="112" t="s">
        <v>13</v>
      </c>
      <c r="L11" s="112" t="s">
        <v>14</v>
      </c>
      <c r="M11" s="112" t="s">
        <v>15</v>
      </c>
      <c r="N11" s="114" t="s">
        <v>88</v>
      </c>
      <c r="O11" s="115"/>
      <c r="P11" s="115"/>
      <c r="Q11" s="116"/>
      <c r="R11" s="60" t="s">
        <v>89</v>
      </c>
      <c r="S11" s="126" t="s">
        <v>56</v>
      </c>
      <c r="T11" s="61"/>
      <c r="U11" s="61"/>
    </row>
    <row r="12" spans="1:21" s="66" customFormat="1" ht="75.5" customHeight="1" thickTop="1" thickBot="1">
      <c r="A12" s="113"/>
      <c r="B12" s="113"/>
      <c r="C12" s="113"/>
      <c r="D12" s="113"/>
      <c r="E12" s="113"/>
      <c r="F12" s="113"/>
      <c r="G12" s="113"/>
      <c r="H12" s="113"/>
      <c r="I12" s="113"/>
      <c r="J12" s="113"/>
      <c r="K12" s="113"/>
      <c r="L12" s="113"/>
      <c r="M12" s="113"/>
      <c r="N12" s="68" t="s">
        <v>16</v>
      </c>
      <c r="O12" s="68" t="s">
        <v>17</v>
      </c>
      <c r="P12" s="68" t="s">
        <v>18</v>
      </c>
      <c r="Q12" s="68" t="s">
        <v>97</v>
      </c>
      <c r="R12" s="63" t="s">
        <v>19</v>
      </c>
      <c r="S12" s="126"/>
      <c r="T12" s="64" t="s">
        <v>52</v>
      </c>
      <c r="U12" s="65" t="s">
        <v>53</v>
      </c>
    </row>
    <row r="13" spans="1:21" s="55" customFormat="1" ht="130" customHeight="1">
      <c r="A13" s="69">
        <v>1</v>
      </c>
      <c r="B13" s="70"/>
      <c r="C13" s="33"/>
      <c r="D13" s="67"/>
      <c r="E13" s="33"/>
      <c r="F13" s="33"/>
      <c r="G13" s="71"/>
      <c r="H13" s="33"/>
      <c r="I13" s="35"/>
      <c r="J13" s="72"/>
      <c r="K13" s="36"/>
      <c r="L13" s="70"/>
      <c r="M13" s="36"/>
      <c r="N13" s="31"/>
      <c r="O13" s="31"/>
      <c r="P13" s="31"/>
      <c r="Q13" s="37"/>
      <c r="R13" s="76"/>
    </row>
    <row r="14" spans="1:21" s="55" customFormat="1" ht="130" customHeight="1">
      <c r="A14" s="73">
        <v>2</v>
      </c>
      <c r="B14" s="32"/>
      <c r="C14" s="49"/>
      <c r="D14" s="67"/>
      <c r="E14" s="49"/>
      <c r="F14" s="33"/>
      <c r="G14" s="34"/>
      <c r="H14" s="49"/>
      <c r="I14" s="35"/>
      <c r="J14" s="72"/>
      <c r="K14" s="74"/>
      <c r="L14" s="32"/>
      <c r="M14" s="74"/>
      <c r="N14" s="31"/>
      <c r="O14" s="31"/>
      <c r="P14" s="31"/>
      <c r="Q14" s="76"/>
      <c r="R14" s="76"/>
    </row>
    <row r="15" spans="1:21" s="55" customFormat="1" ht="130" customHeight="1">
      <c r="A15" s="69">
        <v>3</v>
      </c>
      <c r="B15" s="70"/>
      <c r="C15" s="49"/>
      <c r="D15" s="67"/>
      <c r="E15" s="49"/>
      <c r="F15" s="33"/>
      <c r="G15" s="34"/>
      <c r="H15" s="49"/>
      <c r="I15" s="35"/>
      <c r="J15" s="72"/>
      <c r="K15" s="74"/>
      <c r="L15" s="32"/>
      <c r="M15" s="74"/>
      <c r="N15" s="31"/>
      <c r="O15" s="31"/>
      <c r="P15" s="31"/>
      <c r="Q15" s="37"/>
      <c r="R15" s="76"/>
    </row>
    <row r="16" spans="1:21" s="55" customFormat="1" ht="130" customHeight="1">
      <c r="A16" s="73">
        <v>4</v>
      </c>
      <c r="B16" s="32"/>
      <c r="C16" s="49"/>
      <c r="D16" s="67"/>
      <c r="E16" s="49"/>
      <c r="F16" s="33"/>
      <c r="G16" s="34"/>
      <c r="H16" s="49"/>
      <c r="I16" s="35"/>
      <c r="J16" s="72"/>
      <c r="K16" s="74"/>
      <c r="L16" s="32"/>
      <c r="M16" s="74"/>
      <c r="N16" s="31"/>
      <c r="O16" s="31"/>
      <c r="P16" s="31"/>
      <c r="Q16" s="37"/>
      <c r="R16" s="76"/>
    </row>
    <row r="17" spans="1:21" s="55" customFormat="1" ht="130" customHeight="1">
      <c r="A17" s="69">
        <v>5</v>
      </c>
      <c r="B17" s="32"/>
      <c r="C17" s="49"/>
      <c r="D17" s="67"/>
      <c r="E17" s="49"/>
      <c r="F17" s="33"/>
      <c r="G17" s="34"/>
      <c r="H17" s="49"/>
      <c r="I17" s="35"/>
      <c r="J17" s="72"/>
      <c r="K17" s="36"/>
      <c r="L17" s="32"/>
      <c r="M17" s="36"/>
      <c r="N17" s="31"/>
      <c r="O17" s="31"/>
      <c r="P17" s="31"/>
      <c r="Q17" s="37"/>
      <c r="R17" s="76"/>
    </row>
    <row r="18" spans="1:21" s="55" customFormat="1" ht="130" customHeight="1">
      <c r="A18" s="73">
        <v>6</v>
      </c>
      <c r="B18" s="32"/>
      <c r="C18" s="49"/>
      <c r="D18" s="67"/>
      <c r="E18" s="49"/>
      <c r="F18" s="33"/>
      <c r="G18" s="34"/>
      <c r="H18" s="49"/>
      <c r="I18" s="35"/>
      <c r="J18" s="72"/>
      <c r="K18" s="74"/>
      <c r="L18" s="74"/>
      <c r="M18" s="74"/>
      <c r="N18" s="31"/>
      <c r="O18" s="31"/>
      <c r="P18" s="31"/>
      <c r="Q18" s="37"/>
      <c r="R18" s="76"/>
    </row>
    <row r="19" spans="1:21" s="55" customFormat="1" ht="130" customHeight="1">
      <c r="A19" s="69">
        <v>7</v>
      </c>
      <c r="B19" s="32"/>
      <c r="C19" s="49"/>
      <c r="D19" s="67"/>
      <c r="E19" s="49"/>
      <c r="F19" s="33"/>
      <c r="G19" s="34"/>
      <c r="H19" s="49"/>
      <c r="I19" s="35"/>
      <c r="J19" s="72"/>
      <c r="K19" s="74"/>
      <c r="L19" s="74"/>
      <c r="M19" s="74"/>
      <c r="N19" s="31"/>
      <c r="O19" s="31"/>
      <c r="P19" s="31"/>
      <c r="Q19" s="37"/>
      <c r="R19" s="76"/>
    </row>
    <row r="20" spans="1:21" s="13" customFormat="1" ht="57.5" customHeight="1">
      <c r="A20" s="117" t="s">
        <v>26</v>
      </c>
      <c r="B20" s="118"/>
      <c r="C20" s="118"/>
      <c r="D20" s="118"/>
      <c r="E20" s="118"/>
      <c r="F20" s="118"/>
      <c r="G20" s="118"/>
      <c r="H20" s="118"/>
      <c r="I20" s="118"/>
      <c r="J20" s="118"/>
      <c r="K20" s="118"/>
      <c r="L20" s="118"/>
      <c r="M20" s="118"/>
      <c r="N20" s="118"/>
      <c r="O20" s="118"/>
      <c r="P20" s="118"/>
      <c r="Q20" s="119"/>
      <c r="R20" s="38">
        <f>SUM(R13:R19)</f>
        <v>0</v>
      </c>
      <c r="S20" s="39"/>
      <c r="U20" s="56"/>
    </row>
    <row r="21" spans="1:21" s="13" customFormat="1" ht="57.5" customHeight="1">
      <c r="A21" s="117" t="s">
        <v>27</v>
      </c>
      <c r="B21" s="118"/>
      <c r="C21" s="118"/>
      <c r="D21" s="118"/>
      <c r="E21" s="118"/>
      <c r="F21" s="118"/>
      <c r="G21" s="118"/>
      <c r="H21" s="118"/>
      <c r="I21" s="118"/>
      <c r="J21" s="118"/>
      <c r="K21" s="118"/>
      <c r="L21" s="118"/>
      <c r="M21" s="118"/>
      <c r="N21" s="118"/>
      <c r="O21" s="118"/>
      <c r="P21" s="118"/>
      <c r="Q21" s="119"/>
      <c r="R21" s="40">
        <f>R20*8%</f>
        <v>0</v>
      </c>
      <c r="S21" s="39"/>
      <c r="U21" s="56"/>
    </row>
    <row r="22" spans="1:21" s="59" customFormat="1" ht="57.5" customHeight="1" thickBot="1">
      <c r="A22" s="120" t="s">
        <v>28</v>
      </c>
      <c r="B22" s="121"/>
      <c r="C22" s="121"/>
      <c r="D22" s="121"/>
      <c r="E22" s="121"/>
      <c r="F22" s="121"/>
      <c r="G22" s="121"/>
      <c r="H22" s="121"/>
      <c r="I22" s="121"/>
      <c r="J22" s="121"/>
      <c r="K22" s="121"/>
      <c r="L22" s="121"/>
      <c r="M22" s="121"/>
      <c r="N22" s="121"/>
      <c r="O22" s="121"/>
      <c r="P22" s="121"/>
      <c r="Q22" s="122"/>
      <c r="R22" s="57">
        <f>R21+R20</f>
        <v>0</v>
      </c>
      <c r="S22" s="58"/>
    </row>
    <row r="23" spans="1:21" s="13" customFormat="1" ht="29.25" customHeight="1">
      <c r="A23" s="123" t="s">
        <v>29</v>
      </c>
      <c r="B23" s="123"/>
      <c r="C23" s="123"/>
      <c r="D23" s="123"/>
      <c r="E23" s="123"/>
      <c r="F23" s="123"/>
      <c r="G23" s="123"/>
      <c r="H23" s="123"/>
      <c r="I23" s="123"/>
      <c r="J23" s="123"/>
      <c r="K23" s="123"/>
      <c r="L23" s="123"/>
      <c r="M23" s="123"/>
      <c r="N23" s="123"/>
      <c r="O23" s="123"/>
      <c r="P23" s="123"/>
      <c r="Q23" s="123"/>
      <c r="R23" s="123"/>
      <c r="S23" s="39"/>
      <c r="U23" s="56"/>
    </row>
    <row r="24" spans="1:21" ht="24.75" customHeight="1">
      <c r="A24" s="41" t="s">
        <v>30</v>
      </c>
      <c r="B24" s="42"/>
      <c r="C24" s="43"/>
      <c r="D24" s="43"/>
      <c r="E24" s="43"/>
      <c r="F24" s="43"/>
      <c r="G24" s="43"/>
      <c r="H24" s="44"/>
      <c r="I24" s="44"/>
      <c r="J24" s="44"/>
      <c r="K24" s="45"/>
      <c r="L24" s="45"/>
      <c r="M24" s="45"/>
      <c r="N24" s="45"/>
      <c r="O24" s="45"/>
      <c r="P24" s="45"/>
      <c r="Q24" s="45"/>
      <c r="R24" s="43"/>
      <c r="S24" s="46"/>
    </row>
    <row r="25" spans="1:21" ht="34.5" customHeight="1">
      <c r="A25" s="47" t="s">
        <v>31</v>
      </c>
      <c r="B25" s="43"/>
      <c r="C25" s="43"/>
      <c r="D25" s="43"/>
      <c r="E25" s="43"/>
      <c r="F25" s="47" t="s">
        <v>32</v>
      </c>
      <c r="G25" s="43"/>
      <c r="H25" s="44"/>
      <c r="I25" s="44"/>
      <c r="J25" s="44"/>
      <c r="K25" s="45"/>
      <c r="L25" s="45"/>
      <c r="M25" s="45"/>
      <c r="N25" s="45"/>
      <c r="O25" s="45"/>
      <c r="P25" s="45"/>
      <c r="Q25" s="45"/>
      <c r="R25" s="43"/>
      <c r="S25" s="46"/>
    </row>
    <row r="26" spans="1:21" ht="34.5" customHeight="1">
      <c r="A26" s="47" t="s">
        <v>33</v>
      </c>
      <c r="B26" s="43"/>
      <c r="C26" s="43"/>
      <c r="D26" s="43"/>
      <c r="E26" s="43"/>
      <c r="F26" s="47" t="s">
        <v>34</v>
      </c>
      <c r="G26" s="43" t="s">
        <v>58</v>
      </c>
      <c r="H26" s="44"/>
      <c r="I26" s="44"/>
      <c r="J26" s="44"/>
      <c r="K26" s="45"/>
      <c r="L26" s="45"/>
      <c r="M26" s="45"/>
      <c r="N26" s="45"/>
      <c r="O26" s="45"/>
      <c r="P26" s="45"/>
      <c r="Q26" s="45"/>
      <c r="R26" s="43"/>
      <c r="S26" s="46"/>
    </row>
    <row r="27" spans="1:21" ht="34.5" customHeight="1">
      <c r="A27" s="111" t="s">
        <v>35</v>
      </c>
      <c r="B27" s="111"/>
      <c r="C27" s="111"/>
      <c r="D27" s="111"/>
      <c r="E27" s="111"/>
      <c r="F27" s="111"/>
      <c r="G27" s="111"/>
      <c r="H27" s="111"/>
      <c r="I27" s="111"/>
      <c r="J27" s="111"/>
      <c r="K27" s="111"/>
      <c r="L27" s="111"/>
      <c r="M27" s="111"/>
      <c r="N27" s="111"/>
      <c r="O27" s="111"/>
      <c r="P27" s="111"/>
      <c r="Q27" s="111"/>
      <c r="R27" s="111"/>
      <c r="S27" s="48"/>
    </row>
    <row r="28" spans="1:21" ht="49.5" customHeight="1">
      <c r="A28" s="111"/>
      <c r="B28" s="111"/>
      <c r="C28" s="111"/>
      <c r="D28" s="111"/>
      <c r="E28" s="111"/>
      <c r="F28" s="111"/>
      <c r="G28" s="111"/>
      <c r="H28" s="111"/>
      <c r="I28" s="111"/>
      <c r="J28" s="111"/>
      <c r="K28" s="111"/>
      <c r="L28" s="111"/>
      <c r="M28" s="111"/>
      <c r="N28" s="111"/>
      <c r="O28" s="111"/>
      <c r="P28" s="111"/>
      <c r="Q28" s="111"/>
      <c r="R28" s="111"/>
      <c r="S28" s="48"/>
    </row>
    <row r="29" spans="1:21" ht="34.5" customHeight="1">
      <c r="B29" s="7"/>
      <c r="C29" s="7"/>
      <c r="D29" s="7"/>
      <c r="E29" s="7"/>
      <c r="F29" s="7"/>
      <c r="G29" s="7"/>
      <c r="H29" s="8"/>
      <c r="I29" s="8"/>
      <c r="J29" s="8"/>
      <c r="K29" s="9"/>
      <c r="L29" s="9"/>
      <c r="M29" s="9"/>
      <c r="N29" s="9"/>
      <c r="O29" s="9"/>
      <c r="P29" s="9"/>
      <c r="Q29" s="9"/>
      <c r="R29" s="7"/>
      <c r="S29" s="7"/>
    </row>
    <row r="30" spans="1:21" ht="18.75" customHeight="1">
      <c r="A30" s="7"/>
      <c r="B30" s="7"/>
      <c r="C30" s="7"/>
      <c r="D30" s="7"/>
      <c r="E30" s="7"/>
      <c r="F30" s="7"/>
      <c r="G30" s="7"/>
      <c r="H30" s="8"/>
      <c r="I30" s="8"/>
      <c r="J30" s="8"/>
      <c r="K30" s="9"/>
      <c r="L30" s="9"/>
      <c r="M30" s="9"/>
      <c r="N30" s="9"/>
      <c r="O30" s="9"/>
      <c r="P30" s="9"/>
      <c r="Q30" s="9"/>
      <c r="R30" s="7"/>
      <c r="S30" s="10"/>
    </row>
    <row r="31" spans="1:21" ht="63.5" customHeight="1">
      <c r="A31" s="109" t="s">
        <v>36</v>
      </c>
      <c r="B31" s="110"/>
      <c r="C31" s="14"/>
      <c r="D31" s="15"/>
      <c r="E31" s="15"/>
      <c r="F31" s="16"/>
      <c r="G31" s="16"/>
      <c r="H31" s="6"/>
      <c r="I31" s="6"/>
      <c r="J31" s="17"/>
      <c r="K31" s="9"/>
      <c r="L31" s="9"/>
      <c r="M31" s="9"/>
      <c r="N31" s="9"/>
      <c r="O31" s="9"/>
      <c r="P31" s="50"/>
      <c r="Q31" s="97" t="s">
        <v>37</v>
      </c>
      <c r="R31" s="97"/>
      <c r="S31" s="7"/>
    </row>
    <row r="32" spans="1:21" ht="43.5" customHeight="1">
      <c r="A32" s="98" t="s">
        <v>38</v>
      </c>
      <c r="B32" s="99"/>
      <c r="C32" s="14"/>
      <c r="D32" s="15"/>
      <c r="E32" s="15"/>
      <c r="F32" s="7"/>
      <c r="G32" s="7"/>
      <c r="H32" s="8"/>
      <c r="I32" s="8"/>
      <c r="J32" s="18"/>
      <c r="K32" s="9"/>
      <c r="L32" s="9"/>
      <c r="M32" s="9"/>
      <c r="N32" s="9"/>
      <c r="O32" s="9"/>
      <c r="P32" s="51"/>
      <c r="Q32" s="19" t="s">
        <v>39</v>
      </c>
      <c r="R32" s="54" t="s">
        <v>57</v>
      </c>
      <c r="S32" s="7"/>
    </row>
    <row r="33" spans="1:52" ht="21.75" customHeight="1">
      <c r="A33" s="100"/>
      <c r="B33" s="101"/>
      <c r="C33" s="14"/>
      <c r="D33" s="15"/>
      <c r="E33" s="15"/>
      <c r="F33" s="7"/>
      <c r="G33" s="7"/>
      <c r="H33" s="8"/>
      <c r="I33" s="8"/>
      <c r="J33" s="8"/>
      <c r="K33" s="9"/>
      <c r="L33" s="9"/>
      <c r="M33" s="9"/>
      <c r="N33" s="9"/>
      <c r="O33" s="9"/>
      <c r="P33" s="52"/>
      <c r="Q33" s="106"/>
      <c r="R33" s="106"/>
      <c r="S33" s="7"/>
    </row>
    <row r="34" spans="1:52" ht="66.5" customHeight="1">
      <c r="A34" s="102"/>
      <c r="B34" s="103"/>
      <c r="C34" s="14"/>
      <c r="D34" s="15"/>
      <c r="E34" s="15"/>
      <c r="F34" s="7"/>
      <c r="G34" s="7"/>
      <c r="H34" s="8"/>
      <c r="I34" s="8"/>
      <c r="J34" s="8"/>
      <c r="K34" s="9"/>
      <c r="L34" s="9"/>
      <c r="M34" s="9"/>
      <c r="N34" s="9"/>
      <c r="O34" s="9"/>
      <c r="P34" s="52"/>
      <c r="Q34" s="107"/>
      <c r="R34" s="107"/>
      <c r="S34" s="7"/>
    </row>
    <row r="35" spans="1:52" ht="66.5" customHeight="1">
      <c r="A35" s="102"/>
      <c r="B35" s="103"/>
      <c r="C35" s="14"/>
      <c r="D35" s="20"/>
      <c r="E35" s="20"/>
      <c r="F35" s="7"/>
      <c r="G35" s="7"/>
      <c r="H35" s="8"/>
      <c r="I35" s="8"/>
      <c r="J35" s="8"/>
      <c r="K35" s="9"/>
      <c r="L35" s="9"/>
      <c r="M35" s="9"/>
      <c r="N35" s="9"/>
      <c r="O35" s="9"/>
      <c r="P35" s="52"/>
      <c r="Q35" s="107"/>
      <c r="R35" s="107"/>
      <c r="S35" s="7"/>
    </row>
    <row r="36" spans="1:52" ht="21.75" customHeight="1">
      <c r="A36" s="104"/>
      <c r="B36" s="105"/>
      <c r="C36" s="14"/>
      <c r="D36" s="20"/>
      <c r="E36" s="20"/>
      <c r="F36" s="7"/>
      <c r="G36" s="7"/>
      <c r="H36" s="8"/>
      <c r="I36" s="8"/>
      <c r="J36" s="8"/>
      <c r="K36" s="9"/>
      <c r="L36" s="9"/>
      <c r="M36" s="9"/>
      <c r="N36" s="9"/>
      <c r="O36" s="9"/>
      <c r="P36" s="52"/>
      <c r="Q36" s="108"/>
      <c r="R36" s="108"/>
      <c r="S36" s="7"/>
    </row>
    <row r="37" spans="1:52" ht="42" customHeight="1">
      <c r="A37" s="21" t="s">
        <v>40</v>
      </c>
      <c r="B37" s="14"/>
      <c r="C37" s="14"/>
      <c r="D37" s="20"/>
      <c r="E37" s="20"/>
      <c r="F37" s="7"/>
      <c r="G37" s="7"/>
      <c r="H37" s="8"/>
      <c r="I37" s="8"/>
      <c r="J37" s="8"/>
      <c r="K37" s="22"/>
      <c r="L37" s="22"/>
      <c r="M37" s="22"/>
      <c r="N37" s="22"/>
      <c r="O37" s="22"/>
      <c r="P37" s="22"/>
      <c r="Q37" s="22"/>
      <c r="R37" s="7"/>
      <c r="S37" s="7"/>
    </row>
    <row r="38" spans="1:52" ht="42" customHeight="1">
      <c r="A38" s="88" t="s">
        <v>41</v>
      </c>
      <c r="B38" s="89"/>
      <c r="C38" s="89"/>
      <c r="D38" s="89"/>
      <c r="E38" s="89"/>
      <c r="F38" s="89"/>
      <c r="G38" s="89"/>
      <c r="H38" s="89"/>
      <c r="I38" s="89"/>
      <c r="J38" s="89"/>
      <c r="K38" s="89"/>
      <c r="L38" s="89"/>
      <c r="M38" s="89"/>
      <c r="N38" s="89"/>
      <c r="O38" s="89"/>
      <c r="P38" s="89"/>
      <c r="Q38" s="90"/>
      <c r="R38" s="7"/>
      <c r="S38" s="7"/>
    </row>
    <row r="39" spans="1:52" ht="42" customHeight="1">
      <c r="A39" s="23" t="s">
        <v>42</v>
      </c>
      <c r="B39" s="24"/>
      <c r="C39" s="24"/>
      <c r="D39" s="24"/>
      <c r="E39" s="24"/>
      <c r="F39" s="24"/>
      <c r="G39" s="24"/>
      <c r="H39" s="24"/>
      <c r="I39" s="24"/>
      <c r="J39" s="24"/>
      <c r="K39" s="24"/>
      <c r="L39" s="24"/>
      <c r="M39" s="24"/>
      <c r="N39" s="24"/>
      <c r="O39" s="24"/>
      <c r="P39" s="24"/>
      <c r="Q39" s="25"/>
      <c r="R39" s="7"/>
      <c r="S39" s="7"/>
    </row>
    <row r="40" spans="1:52" ht="42" customHeight="1">
      <c r="A40" s="91" t="s">
        <v>43</v>
      </c>
      <c r="B40" s="92"/>
      <c r="C40" s="92"/>
      <c r="D40" s="92"/>
      <c r="E40" s="92"/>
      <c r="F40" s="92"/>
      <c r="G40" s="92"/>
      <c r="H40" s="92"/>
      <c r="I40" s="92"/>
      <c r="J40" s="92"/>
      <c r="K40" s="92"/>
      <c r="L40" s="92"/>
      <c r="M40" s="92"/>
      <c r="N40" s="92"/>
      <c r="O40" s="92"/>
      <c r="P40" s="92"/>
      <c r="Q40" s="93"/>
      <c r="R40" s="7"/>
      <c r="S40" s="10"/>
    </row>
    <row r="41" spans="1:52" ht="42" customHeight="1">
      <c r="A41" s="24"/>
      <c r="B41" s="24"/>
      <c r="C41" s="24"/>
      <c r="D41" s="24"/>
      <c r="E41" s="24"/>
      <c r="F41" s="24"/>
      <c r="G41" s="24"/>
      <c r="H41" s="24"/>
      <c r="I41" s="24"/>
      <c r="J41" s="24"/>
      <c r="K41" s="24"/>
      <c r="L41" s="24"/>
      <c r="M41" s="24"/>
      <c r="N41" s="24"/>
      <c r="O41" s="24"/>
      <c r="P41" s="24"/>
      <c r="Q41" s="24"/>
      <c r="R41" s="7"/>
      <c r="S41" s="10"/>
    </row>
    <row r="42" spans="1:52" s="4" customFormat="1" ht="42" customHeight="1">
      <c r="A42" s="26" t="s">
        <v>90</v>
      </c>
      <c r="B42" s="20"/>
      <c r="C42" s="20"/>
      <c r="D42" s="20"/>
      <c r="E42" s="20"/>
      <c r="F42" s="20"/>
      <c r="G42" s="20"/>
      <c r="H42" s="27"/>
      <c r="I42" s="27"/>
      <c r="J42" s="27"/>
      <c r="K42" s="22"/>
      <c r="L42" s="22"/>
      <c r="M42" s="22"/>
      <c r="N42" s="22"/>
      <c r="O42" s="22"/>
      <c r="P42" s="22"/>
      <c r="Q42" s="22"/>
      <c r="R42" s="22"/>
      <c r="S42" s="10"/>
      <c r="T42" s="7"/>
      <c r="U42" s="43"/>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s="4" customFormat="1" ht="42" customHeight="1">
      <c r="A43" s="80" t="s">
        <v>44</v>
      </c>
      <c r="B43" s="81"/>
      <c r="C43" s="28"/>
      <c r="D43" s="82" t="s">
        <v>45</v>
      </c>
      <c r="E43" s="83"/>
      <c r="F43" s="83"/>
      <c r="G43" s="83"/>
      <c r="H43" s="83"/>
      <c r="I43" s="83"/>
      <c r="J43" s="83"/>
      <c r="K43" s="83"/>
      <c r="L43" s="83"/>
      <c r="M43" s="83"/>
      <c r="N43" s="83"/>
      <c r="O43" s="83"/>
      <c r="P43" s="83"/>
      <c r="Q43" s="84"/>
      <c r="R43" s="26"/>
      <c r="S43" s="10"/>
      <c r="T43" s="7"/>
      <c r="U43" s="43"/>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s="4" customFormat="1" ht="42" customHeight="1">
      <c r="A44" s="80" t="s">
        <v>46</v>
      </c>
      <c r="B44" s="81"/>
      <c r="C44" s="28"/>
      <c r="D44" s="94" t="s">
        <v>47</v>
      </c>
      <c r="E44" s="95"/>
      <c r="F44" s="95"/>
      <c r="G44" s="95"/>
      <c r="H44" s="95"/>
      <c r="I44" s="95"/>
      <c r="J44" s="95"/>
      <c r="K44" s="95"/>
      <c r="L44" s="95"/>
      <c r="M44" s="95"/>
      <c r="N44" s="95"/>
      <c r="O44" s="95"/>
      <c r="P44" s="95"/>
      <c r="Q44" s="96"/>
      <c r="R44" s="29"/>
      <c r="S44" s="10"/>
      <c r="T44" s="7"/>
      <c r="U44" s="43"/>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s="4" customFormat="1" ht="42" customHeight="1">
      <c r="A45" s="80" t="s">
        <v>48</v>
      </c>
      <c r="B45" s="81"/>
      <c r="C45" s="28"/>
      <c r="D45" s="82" t="s">
        <v>49</v>
      </c>
      <c r="E45" s="83"/>
      <c r="F45" s="83"/>
      <c r="G45" s="83"/>
      <c r="H45" s="83"/>
      <c r="I45" s="83"/>
      <c r="J45" s="83"/>
      <c r="K45" s="83"/>
      <c r="L45" s="83"/>
      <c r="M45" s="83"/>
      <c r="N45" s="83"/>
      <c r="O45" s="83"/>
      <c r="P45" s="83"/>
      <c r="Q45" s="84"/>
      <c r="R45" s="26"/>
      <c r="S45" s="10"/>
      <c r="T45" s="7"/>
      <c r="U45" s="43"/>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s="4" customFormat="1" ht="42" customHeight="1">
      <c r="A46" s="80" t="s">
        <v>50</v>
      </c>
      <c r="B46" s="81"/>
      <c r="C46" s="28"/>
      <c r="D46" s="85" t="s">
        <v>51</v>
      </c>
      <c r="E46" s="86"/>
      <c r="F46" s="86"/>
      <c r="G46" s="86"/>
      <c r="H46" s="86"/>
      <c r="I46" s="86"/>
      <c r="J46" s="86"/>
      <c r="K46" s="86"/>
      <c r="L46" s="86"/>
      <c r="M46" s="86"/>
      <c r="N46" s="86"/>
      <c r="O46" s="86"/>
      <c r="P46" s="86"/>
      <c r="Q46" s="87"/>
      <c r="R46" s="7"/>
      <c r="S46" s="10"/>
      <c r="T46" s="7"/>
      <c r="U46" s="43"/>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s="4" customFormat="1">
      <c r="A47" s="7"/>
      <c r="B47" s="7"/>
      <c r="C47" s="7"/>
      <c r="D47" s="7"/>
      <c r="E47" s="7"/>
      <c r="F47" s="7"/>
      <c r="G47" s="7"/>
      <c r="H47" s="8"/>
      <c r="I47" s="8"/>
      <c r="J47" s="8"/>
      <c r="K47" s="18"/>
      <c r="L47" s="18"/>
      <c r="M47" s="18"/>
      <c r="N47" s="18"/>
      <c r="O47" s="18"/>
      <c r="P47" s="18"/>
      <c r="Q47" s="18"/>
      <c r="R47" s="7"/>
      <c r="S47" s="10"/>
      <c r="T47" s="7"/>
      <c r="U47" s="43"/>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s="4" customFormat="1">
      <c r="A48" s="7"/>
      <c r="B48" s="7"/>
      <c r="C48" s="7"/>
      <c r="D48" s="7"/>
      <c r="E48" s="7"/>
      <c r="F48" s="7"/>
      <c r="G48" s="7"/>
      <c r="H48" s="8"/>
      <c r="I48" s="8"/>
      <c r="J48" s="8"/>
      <c r="K48" s="18"/>
      <c r="L48" s="18"/>
      <c r="M48" s="18"/>
      <c r="N48" s="18"/>
      <c r="O48" s="18"/>
      <c r="P48" s="18"/>
      <c r="Q48" s="18"/>
      <c r="R48" s="7"/>
      <c r="S48" s="10"/>
      <c r="T48" s="7"/>
      <c r="U48" s="43"/>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s="4" customFormat="1">
      <c r="A49" s="7"/>
      <c r="B49" s="7"/>
      <c r="C49" s="7"/>
      <c r="D49" s="7"/>
      <c r="E49" s="7"/>
      <c r="F49" s="7"/>
      <c r="G49" s="7"/>
      <c r="H49" s="8"/>
      <c r="I49" s="8"/>
      <c r="J49" s="8"/>
      <c r="K49" s="18"/>
      <c r="L49" s="18"/>
      <c r="M49" s="18"/>
      <c r="N49" s="18"/>
      <c r="O49" s="18"/>
      <c r="P49" s="18"/>
      <c r="Q49" s="18"/>
      <c r="R49" s="7"/>
      <c r="S49" s="10"/>
      <c r="T49" s="7"/>
      <c r="U49" s="43"/>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s="4" customFormat="1">
      <c r="A50" s="7"/>
      <c r="B50" s="7"/>
      <c r="C50" s="7"/>
      <c r="D50" s="7"/>
      <c r="E50" s="7"/>
      <c r="F50" s="7"/>
      <c r="G50" s="7"/>
      <c r="H50" s="8"/>
      <c r="I50" s="8"/>
      <c r="J50" s="8"/>
      <c r="K50" s="18"/>
      <c r="L50" s="18"/>
      <c r="M50" s="18"/>
      <c r="N50" s="18"/>
      <c r="O50" s="18"/>
      <c r="P50" s="18"/>
      <c r="Q50" s="18"/>
      <c r="R50" s="7"/>
      <c r="S50" s="10"/>
      <c r="T50" s="7"/>
      <c r="U50" s="43"/>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sheetData>
  <mergeCells count="38">
    <mergeCell ref="S11:S12"/>
    <mergeCell ref="K1:Q1"/>
    <mergeCell ref="A3:R3"/>
    <mergeCell ref="A11:A12"/>
    <mergeCell ref="B11:B12"/>
    <mergeCell ref="C11:C12"/>
    <mergeCell ref="D11:D12"/>
    <mergeCell ref="E11:E12"/>
    <mergeCell ref="F11:F12"/>
    <mergeCell ref="G11:G12"/>
    <mergeCell ref="H11:H12"/>
    <mergeCell ref="A27:R28"/>
    <mergeCell ref="I11:I12"/>
    <mergeCell ref="J11:J12"/>
    <mergeCell ref="K11:K12"/>
    <mergeCell ref="L11:L12"/>
    <mergeCell ref="M11:M12"/>
    <mergeCell ref="N11:Q11"/>
    <mergeCell ref="A20:Q20"/>
    <mergeCell ref="A21:Q21"/>
    <mergeCell ref="A22:Q22"/>
    <mergeCell ref="A23:R23"/>
    <mergeCell ref="Q31:R31"/>
    <mergeCell ref="A32:B32"/>
    <mergeCell ref="A33:B36"/>
    <mergeCell ref="Q33:Q36"/>
    <mergeCell ref="R33:R36"/>
    <mergeCell ref="A31:B31"/>
    <mergeCell ref="A45:B45"/>
    <mergeCell ref="D45:Q45"/>
    <mergeCell ref="A46:B46"/>
    <mergeCell ref="D46:Q46"/>
    <mergeCell ref="A38:Q38"/>
    <mergeCell ref="A40:Q40"/>
    <mergeCell ref="A43:B43"/>
    <mergeCell ref="D43:Q43"/>
    <mergeCell ref="A44:B44"/>
    <mergeCell ref="D44:Q44"/>
  </mergeCells>
  <conditionalFormatting sqref="A12:I12 K12:XFD12">
    <cfRule type="duplicateValues" dxfId="2" priority="4"/>
  </conditionalFormatting>
  <conditionalFormatting sqref="J12">
    <cfRule type="duplicateValues" dxfId="1" priority="1"/>
  </conditionalFormatting>
  <printOptions horizontalCentered="1"/>
  <pageMargins left="0.05" right="0" top="0.28828124999999999" bottom="0" header="0" footer="0"/>
  <pageSetup paperSize="9" scale="24" orientation="landscape" r:id="rId1"/>
  <headerFooter alignWithMargins="0">
    <oddFooter>&amp;LDocument Number: PURF001 
Rev: A&amp;C&amp;9Page&amp;P of &amp;N
Own dept: PUR&amp;R&amp;9Form No.: QMSF004 A
Effective date:25 Jan 2024</oddFooter>
  </headerFooter>
  <rowBreaks count="1" manualBreakCount="1">
    <brk id="36" max="21"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E234-C154-4B91-800F-4C0DDDEB2599}">
  <dimension ref="A1:I7"/>
  <sheetViews>
    <sheetView workbookViewId="0">
      <selection activeCell="B6" sqref="B6"/>
    </sheetView>
  </sheetViews>
  <sheetFormatPr defaultRowHeight="14.5"/>
  <cols>
    <col min="2" max="2" width="18.453125" customWidth="1"/>
    <col min="3" max="3" width="55.6328125" customWidth="1"/>
    <col min="4" max="4" width="11" customWidth="1"/>
    <col min="5" max="5" width="43.36328125" customWidth="1"/>
    <col min="6" max="6" width="23.6328125" customWidth="1"/>
  </cols>
  <sheetData>
    <row r="1" spans="1:9">
      <c r="A1" s="127" t="s">
        <v>100</v>
      </c>
      <c r="B1" s="127"/>
      <c r="C1" s="127"/>
      <c r="D1" s="127"/>
      <c r="E1" s="127"/>
      <c r="F1" s="127"/>
      <c r="G1" s="127"/>
      <c r="H1" s="127"/>
      <c r="I1" s="127"/>
    </row>
    <row r="2" spans="1:9">
      <c r="A2" s="127"/>
      <c r="B2" s="127"/>
      <c r="C2" s="127"/>
      <c r="D2" s="127"/>
      <c r="E2" s="127"/>
      <c r="F2" s="127"/>
      <c r="G2" s="127"/>
      <c r="H2" s="127"/>
      <c r="I2" s="127"/>
    </row>
    <row r="3" spans="1:9" ht="23.5">
      <c r="A3" s="128" t="s">
        <v>98</v>
      </c>
      <c r="B3" s="128" t="s">
        <v>99</v>
      </c>
      <c r="C3" s="128" t="s">
        <v>103</v>
      </c>
      <c r="D3" s="128" t="s">
        <v>101</v>
      </c>
      <c r="E3" s="128" t="s">
        <v>50</v>
      </c>
      <c r="F3" s="128" t="s">
        <v>102</v>
      </c>
    </row>
    <row r="4" spans="1:9" ht="18.5">
      <c r="A4" s="129">
        <v>1</v>
      </c>
      <c r="B4" s="129" t="s">
        <v>104</v>
      </c>
      <c r="C4" s="130" t="s">
        <v>1</v>
      </c>
      <c r="D4" s="172" t="s">
        <v>3</v>
      </c>
      <c r="E4" s="131" t="s">
        <v>5</v>
      </c>
      <c r="F4" s="132" t="s">
        <v>7</v>
      </c>
    </row>
    <row r="5" spans="1:9" ht="18.5">
      <c r="A5" s="129">
        <v>2</v>
      </c>
      <c r="B5" s="129" t="s">
        <v>105</v>
      </c>
      <c r="C5" s="130" t="s">
        <v>106</v>
      </c>
      <c r="D5" s="129" t="s">
        <v>107</v>
      </c>
      <c r="E5" s="171" t="s">
        <v>128</v>
      </c>
      <c r="F5" s="132" t="s">
        <v>127</v>
      </c>
    </row>
    <row r="6" spans="1:9" ht="18.5">
      <c r="A6" s="129">
        <v>3</v>
      </c>
      <c r="B6" s="129"/>
      <c r="C6" s="129"/>
      <c r="D6" s="129"/>
      <c r="E6" s="129"/>
      <c r="F6" s="129"/>
    </row>
    <row r="7" spans="1:9" ht="18.5">
      <c r="A7" s="129">
        <v>4</v>
      </c>
      <c r="B7" s="129"/>
      <c r="C7" s="129"/>
      <c r="D7" s="129"/>
      <c r="E7" s="129"/>
      <c r="F7" s="129"/>
    </row>
  </sheetData>
  <mergeCells count="1">
    <mergeCell ref="A1:I2"/>
  </mergeCells>
  <phoneticPr fontId="36" type="noConversion"/>
  <hyperlinks>
    <hyperlink ref="E4" r:id="rId1" xr:uid="{6DC69808-3A0A-4093-A7F5-4AFF5C7A3A48}"/>
    <hyperlink ref="E5" r:id="rId2" xr:uid="{22D1B0E5-3ACB-44E7-B9A4-52B7C022DA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3787-5588-47AC-971E-785C540AB1EB}">
  <sheetPr>
    <tabColor rgb="FFFFC000"/>
  </sheetPr>
  <dimension ref="A1:O14"/>
  <sheetViews>
    <sheetView zoomScale="40" zoomScaleNormal="40" zoomScaleSheetLayoutView="40" zoomScalePageLayoutView="40" workbookViewId="0">
      <selection activeCell="G5" sqref="G5"/>
    </sheetView>
  </sheetViews>
  <sheetFormatPr defaultColWidth="9.1796875" defaultRowHeight="14"/>
  <cols>
    <col min="1" max="1" width="12.453125" style="133" customWidth="1"/>
    <col min="2" max="2" width="45.1796875" style="133" customWidth="1"/>
    <col min="3" max="3" width="27.6328125" style="133" customWidth="1"/>
    <col min="4" max="4" width="23" style="133" customWidth="1"/>
    <col min="5" max="5" width="25.90625" style="133" customWidth="1"/>
    <col min="6" max="6" width="39.81640625" style="133" customWidth="1"/>
    <col min="7" max="7" width="44.1796875" style="133" customWidth="1"/>
    <col min="8" max="8" width="19.81640625" style="134" customWidth="1"/>
    <col min="9" max="9" width="30.36328125" style="134" customWidth="1"/>
    <col min="10" max="10" width="21.08984375" style="158" customWidth="1"/>
    <col min="11" max="11" width="15.90625" style="158" customWidth="1"/>
    <col min="12" max="14" width="26" style="158" customWidth="1"/>
    <col min="15" max="15" width="31.1796875" style="158" customWidth="1"/>
    <col min="16" max="16384" width="9.1796875" style="133"/>
  </cols>
  <sheetData>
    <row r="1" spans="1:15" ht="127.5" customHeight="1">
      <c r="A1" s="135" t="s">
        <v>108</v>
      </c>
      <c r="B1" s="135"/>
      <c r="C1" s="135"/>
      <c r="D1" s="135"/>
      <c r="E1" s="135"/>
      <c r="F1" s="135"/>
      <c r="G1" s="135"/>
      <c r="H1" s="135"/>
      <c r="I1" s="135"/>
      <c r="J1" s="135"/>
      <c r="K1" s="135"/>
      <c r="L1" s="135"/>
      <c r="M1" s="135"/>
      <c r="N1" s="135"/>
      <c r="O1" s="135"/>
    </row>
    <row r="2" spans="1:15" s="140" customFormat="1" ht="86" customHeight="1">
      <c r="A2" s="136" t="s">
        <v>82</v>
      </c>
      <c r="B2" s="136" t="s">
        <v>83</v>
      </c>
      <c r="C2" s="136" t="s">
        <v>9</v>
      </c>
      <c r="D2" s="136" t="s">
        <v>84</v>
      </c>
      <c r="E2" s="136" t="s">
        <v>10</v>
      </c>
      <c r="F2" s="136" t="s">
        <v>85</v>
      </c>
      <c r="G2" s="136" t="s">
        <v>86</v>
      </c>
      <c r="H2" s="136" t="s">
        <v>11</v>
      </c>
      <c r="I2" s="136" t="s">
        <v>87</v>
      </c>
      <c r="J2" s="136" t="s">
        <v>13</v>
      </c>
      <c r="K2" s="136" t="s">
        <v>14</v>
      </c>
      <c r="L2" s="137" t="s">
        <v>88</v>
      </c>
      <c r="M2" s="138"/>
      <c r="N2" s="138"/>
      <c r="O2" s="139"/>
    </row>
    <row r="3" spans="1:15" s="143" customFormat="1" ht="75.5" customHeight="1">
      <c r="A3" s="141"/>
      <c r="B3" s="141"/>
      <c r="C3" s="141"/>
      <c r="D3" s="141"/>
      <c r="E3" s="141"/>
      <c r="F3" s="141"/>
      <c r="G3" s="141"/>
      <c r="H3" s="141"/>
      <c r="I3" s="141"/>
      <c r="J3" s="141"/>
      <c r="K3" s="141"/>
      <c r="L3" s="142" t="s">
        <v>16</v>
      </c>
      <c r="M3" s="142" t="s">
        <v>17</v>
      </c>
      <c r="N3" s="142" t="s">
        <v>18</v>
      </c>
      <c r="O3" s="142" t="s">
        <v>97</v>
      </c>
    </row>
    <row r="4" spans="1:15" s="152" customFormat="1" ht="130" customHeight="1">
      <c r="A4" s="144">
        <v>1</v>
      </c>
      <c r="B4" s="145" t="s">
        <v>123</v>
      </c>
      <c r="C4" s="146" t="s">
        <v>55</v>
      </c>
      <c r="D4" s="147" t="s">
        <v>20</v>
      </c>
      <c r="E4" s="146" t="s">
        <v>23</v>
      </c>
      <c r="F4" s="146" t="s">
        <v>61</v>
      </c>
      <c r="G4" s="148" t="e" vm="1">
        <v>#VALUE!</v>
      </c>
      <c r="H4" s="146" t="s">
        <v>24</v>
      </c>
      <c r="I4" s="149" t="s">
        <v>25</v>
      </c>
      <c r="J4" s="150">
        <v>1825</v>
      </c>
      <c r="K4" s="145">
        <v>5</v>
      </c>
      <c r="L4" s="151">
        <v>732</v>
      </c>
      <c r="M4" s="151">
        <v>1609</v>
      </c>
      <c r="N4" s="151">
        <v>162</v>
      </c>
      <c r="O4" s="167">
        <v>2503</v>
      </c>
    </row>
    <row r="5" spans="1:15" s="152" customFormat="1" ht="130" customHeight="1">
      <c r="A5" s="153">
        <v>2</v>
      </c>
      <c r="B5" s="154" t="s">
        <v>124</v>
      </c>
      <c r="C5" s="155" t="s">
        <v>62</v>
      </c>
      <c r="D5" s="147" t="s">
        <v>20</v>
      </c>
      <c r="E5" s="155" t="s">
        <v>92</v>
      </c>
      <c r="F5" s="146" t="s">
        <v>63</v>
      </c>
      <c r="G5" s="156" t="e" vm="2">
        <v>#VALUE!</v>
      </c>
      <c r="H5" s="155" t="s">
        <v>64</v>
      </c>
      <c r="I5" s="149" t="s">
        <v>65</v>
      </c>
      <c r="J5" s="157">
        <v>1750</v>
      </c>
      <c r="K5" s="154">
        <v>53</v>
      </c>
      <c r="L5" s="151">
        <v>1750</v>
      </c>
      <c r="M5" s="151">
        <v>0</v>
      </c>
      <c r="N5" s="151">
        <v>441</v>
      </c>
      <c r="O5" s="168">
        <v>2191</v>
      </c>
    </row>
    <row r="6" spans="1:15" s="152" customFormat="1" ht="130" customHeight="1">
      <c r="A6" s="144">
        <v>3</v>
      </c>
      <c r="B6" s="145" t="s">
        <v>109</v>
      </c>
      <c r="C6" s="155" t="s">
        <v>54</v>
      </c>
      <c r="D6" s="147" t="s">
        <v>20</v>
      </c>
      <c r="E6" s="155" t="s">
        <v>21</v>
      </c>
      <c r="F6" s="146" t="s">
        <v>66</v>
      </c>
      <c r="G6" s="156" t="e" vm="3">
        <v>#VALUE!</v>
      </c>
      <c r="H6" s="155" t="s">
        <v>64</v>
      </c>
      <c r="I6" s="149" t="s">
        <v>22</v>
      </c>
      <c r="J6" s="157">
        <v>1765</v>
      </c>
      <c r="K6" s="154">
        <v>53</v>
      </c>
      <c r="L6" s="151">
        <v>732</v>
      </c>
      <c r="M6" s="151">
        <v>2289</v>
      </c>
      <c r="N6" s="151">
        <v>161</v>
      </c>
      <c r="O6" s="167">
        <v>3182</v>
      </c>
    </row>
    <row r="7" spans="1:15" s="152" customFormat="1" ht="130" customHeight="1">
      <c r="A7" s="153">
        <v>4</v>
      </c>
      <c r="B7" s="154" t="s">
        <v>125</v>
      </c>
      <c r="C7" s="155" t="s">
        <v>67</v>
      </c>
      <c r="D7" s="147" t="s">
        <v>20</v>
      </c>
      <c r="E7" s="155" t="s">
        <v>93</v>
      </c>
      <c r="F7" s="146" t="s">
        <v>68</v>
      </c>
      <c r="G7" s="156" t="e" vm="4">
        <v>#VALUE!</v>
      </c>
      <c r="H7" s="155" t="s">
        <v>64</v>
      </c>
      <c r="I7" s="149" t="s">
        <v>69</v>
      </c>
      <c r="J7" s="157">
        <v>2010</v>
      </c>
      <c r="K7" s="154">
        <v>30</v>
      </c>
      <c r="L7" s="151">
        <v>1050</v>
      </c>
      <c r="M7" s="151">
        <v>0</v>
      </c>
      <c r="N7" s="151">
        <v>490</v>
      </c>
      <c r="O7" s="167">
        <v>1540</v>
      </c>
    </row>
    <row r="8" spans="1:15" s="152" customFormat="1" ht="130" customHeight="1">
      <c r="A8" s="144">
        <v>5</v>
      </c>
      <c r="B8" s="154" t="s">
        <v>123</v>
      </c>
      <c r="C8" s="155" t="s">
        <v>70</v>
      </c>
      <c r="D8" s="147" t="s">
        <v>20</v>
      </c>
      <c r="E8" s="155" t="s">
        <v>94</v>
      </c>
      <c r="F8" s="146" t="s">
        <v>61</v>
      </c>
      <c r="G8" s="156" t="e" vm="5">
        <v>#VALUE!</v>
      </c>
      <c r="H8" s="155" t="s">
        <v>71</v>
      </c>
      <c r="I8" s="149" t="s">
        <v>72</v>
      </c>
      <c r="J8" s="150">
        <v>1813.5</v>
      </c>
      <c r="K8" s="154">
        <v>5</v>
      </c>
      <c r="L8" s="151">
        <v>732</v>
      </c>
      <c r="M8" s="151">
        <v>1609</v>
      </c>
      <c r="N8" s="151">
        <v>162</v>
      </c>
      <c r="O8" s="167">
        <v>2503</v>
      </c>
    </row>
    <row r="9" spans="1:15" s="152" customFormat="1" ht="130" customHeight="1">
      <c r="A9" s="153">
        <v>6</v>
      </c>
      <c r="B9" s="154" t="s">
        <v>110</v>
      </c>
      <c r="C9" s="155" t="s">
        <v>73</v>
      </c>
      <c r="D9" s="147" t="s">
        <v>20</v>
      </c>
      <c r="E9" s="155" t="s">
        <v>95</v>
      </c>
      <c r="F9" s="146" t="s">
        <v>61</v>
      </c>
      <c r="G9" s="156" t="e" vm="6">
        <v>#VALUE!</v>
      </c>
      <c r="H9" s="155" t="s">
        <v>74</v>
      </c>
      <c r="I9" s="149" t="s">
        <v>75</v>
      </c>
      <c r="J9" s="157">
        <v>1875</v>
      </c>
      <c r="K9" s="157">
        <v>5</v>
      </c>
      <c r="L9" s="151">
        <v>732</v>
      </c>
      <c r="M9" s="151">
        <v>1609</v>
      </c>
      <c r="N9" s="151">
        <v>162</v>
      </c>
      <c r="O9" s="167">
        <v>2503</v>
      </c>
    </row>
    <row r="10" spans="1:15" s="152" customFormat="1" ht="130" customHeight="1">
      <c r="A10" s="144">
        <v>7</v>
      </c>
      <c r="B10" s="154" t="s">
        <v>126</v>
      </c>
      <c r="C10" s="155" t="s">
        <v>76</v>
      </c>
      <c r="D10" s="147" t="s">
        <v>20</v>
      </c>
      <c r="E10" s="155" t="s">
        <v>96</v>
      </c>
      <c r="F10" s="146" t="s">
        <v>77</v>
      </c>
      <c r="G10" s="156" t="e" vm="7">
        <v>#VALUE!</v>
      </c>
      <c r="H10" s="155" t="s">
        <v>74</v>
      </c>
      <c r="I10" s="149" t="s">
        <v>78</v>
      </c>
      <c r="J10" s="157">
        <v>1980</v>
      </c>
      <c r="K10" s="157">
        <v>10</v>
      </c>
      <c r="L10" s="151">
        <v>525</v>
      </c>
      <c r="M10" s="151">
        <v>4765</v>
      </c>
      <c r="N10" s="151">
        <v>196</v>
      </c>
      <c r="O10" s="167">
        <v>5486</v>
      </c>
    </row>
    <row r="11" spans="1:15" s="164" customFormat="1" ht="119" customHeight="1">
      <c r="A11" s="165">
        <v>3</v>
      </c>
      <c r="B11" s="67" t="s">
        <v>111</v>
      </c>
      <c r="C11" s="170" t="s">
        <v>112</v>
      </c>
      <c r="D11" s="67" t="s">
        <v>20</v>
      </c>
      <c r="E11" s="159" t="str">
        <f>VLOOKUP(C11,'[1]Data base'!$H$2:$K$45,4,0)</f>
        <v>RM-0053-12</v>
      </c>
      <c r="F11" s="159" t="str">
        <f>VLOOKUP(E11,'[1]Data base'!$K$2:$L$45,2,0)</f>
        <v>IM - Main Tube Ø 30 Left - VN (Fab)</v>
      </c>
      <c r="G11" s="160" t="e" vm="8">
        <v>#VALUE!</v>
      </c>
      <c r="H11" s="161" t="str">
        <f t="shared" ref="H11:H14" si="0">LEFT(F11,2)</f>
        <v>IM</v>
      </c>
      <c r="I11" s="161" t="s">
        <v>113</v>
      </c>
      <c r="J11" s="162">
        <v>1365</v>
      </c>
      <c r="K11" s="162">
        <v>5</v>
      </c>
      <c r="L11" s="163">
        <v>732</v>
      </c>
      <c r="M11" s="163">
        <v>2289</v>
      </c>
      <c r="N11" s="163">
        <v>161</v>
      </c>
      <c r="O11" s="169">
        <v>3182</v>
      </c>
    </row>
    <row r="12" spans="1:15" s="164" customFormat="1" ht="119" customHeight="1">
      <c r="A12" s="166">
        <v>4</v>
      </c>
      <c r="B12" s="67" t="s">
        <v>114</v>
      </c>
      <c r="C12" s="170" t="s">
        <v>112</v>
      </c>
      <c r="D12" s="67" t="s">
        <v>20</v>
      </c>
      <c r="E12" s="159" t="s">
        <v>115</v>
      </c>
      <c r="F12" s="159" t="s">
        <v>116</v>
      </c>
      <c r="G12" s="160" t="e" vm="9">
        <v>#VALUE!</v>
      </c>
      <c r="H12" s="161" t="str">
        <f t="shared" si="0"/>
        <v>IM</v>
      </c>
      <c r="I12" s="161" t="s">
        <v>113</v>
      </c>
      <c r="J12" s="162">
        <v>1365</v>
      </c>
      <c r="K12" s="162">
        <v>5</v>
      </c>
      <c r="L12" s="163">
        <v>732</v>
      </c>
      <c r="M12" s="163">
        <v>2289</v>
      </c>
      <c r="N12" s="163">
        <v>161</v>
      </c>
      <c r="O12" s="169">
        <v>3182</v>
      </c>
    </row>
    <row r="13" spans="1:15" s="164" customFormat="1" ht="119" customHeight="1">
      <c r="A13" s="165">
        <v>5</v>
      </c>
      <c r="B13" s="67" t="s">
        <v>117</v>
      </c>
      <c r="C13" s="170" t="s">
        <v>118</v>
      </c>
      <c r="D13" s="67" t="s">
        <v>20</v>
      </c>
      <c r="E13" s="159" t="str">
        <f>VLOOKUP(C13,'[1]Data base'!$H$2:$K$45,4,0)</f>
        <v>RM-0047-12</v>
      </c>
      <c r="F13" s="159" t="str">
        <f>VLOOKUP(E13,'[1]Data base'!$K$2:$L$45,2,0)</f>
        <v>IM - Main Bend Tube Ø 28 - VN (Fab)</v>
      </c>
      <c r="G13" s="160" t="e" vm="10">
        <v>#VALUE!</v>
      </c>
      <c r="H13" s="161" t="str">
        <f t="shared" si="0"/>
        <v>IM</v>
      </c>
      <c r="I13" s="161" t="s">
        <v>119</v>
      </c>
      <c r="J13" s="162">
        <v>2415</v>
      </c>
      <c r="K13" s="162">
        <v>5</v>
      </c>
      <c r="L13" s="162">
        <v>732</v>
      </c>
      <c r="M13" s="162">
        <v>3706</v>
      </c>
      <c r="N13" s="162">
        <v>445</v>
      </c>
      <c r="O13" s="169">
        <v>4883</v>
      </c>
    </row>
    <row r="14" spans="1:15" s="164" customFormat="1" ht="119" customHeight="1">
      <c r="A14" s="166">
        <v>6</v>
      </c>
      <c r="B14" s="67" t="s">
        <v>120</v>
      </c>
      <c r="C14" s="170" t="s">
        <v>121</v>
      </c>
      <c r="D14" s="67" t="s">
        <v>20</v>
      </c>
      <c r="E14" s="159" t="str">
        <f>VLOOKUP(C14,'[1]Data base'!$H$2:$K$45,4,0)</f>
        <v>RM-0128-12</v>
      </c>
      <c r="F14" s="159" t="str">
        <f>VLOOKUP(E14,'[1]Data base'!$K$2:$L$45,2,0)</f>
        <v>IM - Handle Ø 23 (CN-Fabrication)</v>
      </c>
      <c r="G14" s="160" t="e" vm="11">
        <v>#VALUE!</v>
      </c>
      <c r="H14" s="161" t="str">
        <f t="shared" si="0"/>
        <v>IM</v>
      </c>
      <c r="I14" s="161" t="s">
        <v>122</v>
      </c>
      <c r="J14" s="162">
        <v>2497.6</v>
      </c>
      <c r="K14" s="162">
        <v>4</v>
      </c>
      <c r="L14" s="163">
        <v>732</v>
      </c>
      <c r="M14" s="163">
        <v>7302</v>
      </c>
      <c r="N14" s="163">
        <v>486</v>
      </c>
      <c r="O14" s="169">
        <v>8520</v>
      </c>
    </row>
  </sheetData>
  <mergeCells count="13">
    <mergeCell ref="I2:I3"/>
    <mergeCell ref="J2:J3"/>
    <mergeCell ref="K2:K3"/>
    <mergeCell ref="L2:O2"/>
    <mergeCell ref="A1:O1"/>
    <mergeCell ref="A2:A3"/>
    <mergeCell ref="B2:B3"/>
    <mergeCell ref="C2:C3"/>
    <mergeCell ref="D2:D3"/>
    <mergeCell ref="E2:E3"/>
    <mergeCell ref="F2:F3"/>
    <mergeCell ref="G2:G3"/>
    <mergeCell ref="H2:H3"/>
  </mergeCells>
  <conditionalFormatting sqref="A3:XFD3">
    <cfRule type="duplicateValues" dxfId="0" priority="5"/>
  </conditionalFormatting>
  <printOptions horizontalCentered="1"/>
  <pageMargins left="0.05" right="0" top="0.28828124999999999" bottom="0" header="0" footer="0"/>
  <pageSetup paperSize="9" scale="24" orientation="landscape" r:id="rId1"/>
  <headerFooter alignWithMargins="0">
    <oddFooter>&amp;LDocument Number: PURF001 
Rev: A&amp;C&amp;9Page&amp;P of &amp;N
Own dept: PUR&amp;R&amp;9Form No.: QMSF004 A
Effective date:25 Jan 2024</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EXTRUSION FORM</vt:lpstr>
      <vt:lpstr>VENDOR INFORMATION</vt:lpstr>
      <vt:lpstr>Master list</vt:lpstr>
      <vt:lpstr>'EXTRUSION FORM'!Print_Area</vt:lpstr>
      <vt:lpstr>'Master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Ái Viên</dc:creator>
  <cp:lastModifiedBy>Luu Lam Thang Duc</cp:lastModifiedBy>
  <cp:lastPrinted>2026-07-06T09:48:37Z</cp:lastPrinted>
  <dcterms:created xsi:type="dcterms:W3CDTF">2026-01-17T09:45:40Z</dcterms:created>
  <dcterms:modified xsi:type="dcterms:W3CDTF">2026-09-06T13:19:03Z</dcterms:modified>
</cp:coreProperties>
</file>